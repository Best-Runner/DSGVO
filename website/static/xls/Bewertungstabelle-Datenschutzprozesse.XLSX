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M2\Desktop\Datenschutz Juni 2017\"/>
    </mc:Choice>
  </mc:AlternateContent>
  <bookViews>
    <workbookView xWindow="0" yWindow="0" windowWidth="23040" windowHeight="9060"/>
  </bookViews>
  <sheets>
    <sheet name="Bewertung" sheetId="1" r:id="rId1"/>
    <sheet name="Erfüllungsgrad" sheetId="2" r:id="rId2"/>
    <sheet name="Grafik" sheetId="3" r:id="rId3"/>
  </sheets>
  <definedNames>
    <definedName name="_xlnm.Print_Area" localSheetId="1">Erfüllungsgrad!$A$1:$E$22</definedName>
    <definedName name="_xlnm.Print_Titles" localSheetId="0">Bewertung!$38:$38</definedName>
  </definedNames>
  <calcPr calcId="162913"/>
  <fileRecoveryPr autoRecover="0"/>
</workbook>
</file>

<file path=xl/calcChain.xml><?xml version="1.0" encoding="utf-8"?>
<calcChain xmlns="http://schemas.openxmlformats.org/spreadsheetml/2006/main">
  <c r="G142" i="1" l="1"/>
  <c r="H142" i="1"/>
  <c r="G141" i="1"/>
  <c r="G140" i="1"/>
  <c r="H140" i="1"/>
  <c r="G126" i="1"/>
  <c r="H126" i="1"/>
  <c r="G122" i="1"/>
  <c r="H122" i="1"/>
  <c r="G125" i="1"/>
  <c r="H125" i="1"/>
  <c r="G168" i="1"/>
  <c r="H168" i="1"/>
  <c r="G164" i="1"/>
  <c r="H164" i="1"/>
  <c r="G116" i="1"/>
  <c r="H116" i="1"/>
  <c r="G109" i="1"/>
  <c r="H109" i="1"/>
  <c r="G88" i="1"/>
  <c r="H88" i="1"/>
  <c r="G84" i="1"/>
  <c r="H84" i="1"/>
  <c r="G85" i="1"/>
  <c r="H85" i="1"/>
  <c r="G110" i="1"/>
  <c r="H110" i="1"/>
  <c r="H181" i="1"/>
  <c r="H182" i="1"/>
  <c r="H175" i="1"/>
  <c r="H176" i="1"/>
  <c r="H177" i="1"/>
  <c r="H178" i="1"/>
  <c r="H179" i="1"/>
  <c r="H170" i="1"/>
  <c r="H171" i="1"/>
  <c r="H172" i="1"/>
  <c r="H173" i="1"/>
  <c r="H163" i="1"/>
  <c r="H165" i="1"/>
  <c r="H166" i="1"/>
  <c r="H167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23" i="1"/>
  <c r="H124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1" i="1"/>
  <c r="H121" i="1"/>
  <c r="H120" i="1"/>
  <c r="H114" i="1"/>
  <c r="H115" i="1"/>
  <c r="H117" i="1"/>
  <c r="H118" i="1"/>
  <c r="H113" i="1"/>
  <c r="H112" i="1"/>
  <c r="H108" i="1"/>
  <c r="H107" i="1"/>
  <c r="H106" i="1"/>
  <c r="H101" i="1"/>
  <c r="H102" i="1"/>
  <c r="H103" i="1"/>
  <c r="H104" i="1"/>
  <c r="H100" i="1"/>
  <c r="H99" i="1"/>
  <c r="H97" i="1"/>
  <c r="H96" i="1"/>
  <c r="H82" i="1"/>
  <c r="H94" i="1"/>
  <c r="H95" i="1" s="1"/>
  <c r="D12" i="2" s="1"/>
  <c r="H86" i="1"/>
  <c r="H87" i="1"/>
  <c r="H89" i="1"/>
  <c r="H90" i="1"/>
  <c r="H91" i="1"/>
  <c r="H92" i="1"/>
  <c r="H83" i="1"/>
  <c r="H79" i="1"/>
  <c r="H80" i="1"/>
  <c r="H78" i="1"/>
  <c r="H77" i="1"/>
  <c r="H70" i="1"/>
  <c r="H71" i="1"/>
  <c r="H72" i="1"/>
  <c r="H73" i="1"/>
  <c r="H74" i="1"/>
  <c r="H75" i="1"/>
  <c r="H69" i="1"/>
  <c r="H68" i="1"/>
  <c r="H64" i="1"/>
  <c r="H65" i="1"/>
  <c r="H66" i="1"/>
  <c r="H63" i="1"/>
  <c r="H62" i="1"/>
  <c r="H55" i="1"/>
  <c r="H56" i="1"/>
  <c r="H57" i="1"/>
  <c r="H58" i="1"/>
  <c r="H59" i="1"/>
  <c r="H60" i="1"/>
  <c r="H54" i="1"/>
  <c r="H53" i="1"/>
  <c r="H51" i="1"/>
  <c r="H46" i="1"/>
  <c r="H47" i="1"/>
  <c r="H48" i="1"/>
  <c r="H49" i="1"/>
  <c r="H50" i="1"/>
  <c r="H45" i="1"/>
  <c r="H44" i="1"/>
  <c r="H41" i="1"/>
  <c r="H42" i="1"/>
  <c r="H40" i="1"/>
  <c r="H39" i="1"/>
  <c r="G181" i="1"/>
  <c r="G182" i="1"/>
  <c r="G175" i="1"/>
  <c r="G176" i="1"/>
  <c r="G177" i="1"/>
  <c r="G178" i="1"/>
  <c r="G179" i="1"/>
  <c r="G170" i="1"/>
  <c r="G171" i="1"/>
  <c r="G172" i="1"/>
  <c r="G173" i="1"/>
  <c r="G163" i="1"/>
  <c r="G165" i="1"/>
  <c r="G166" i="1"/>
  <c r="G167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20" i="1"/>
  <c r="G121" i="1"/>
  <c r="G123" i="1"/>
  <c r="G124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12" i="1"/>
  <c r="G113" i="1"/>
  <c r="G114" i="1"/>
  <c r="G115" i="1"/>
  <c r="G117" i="1"/>
  <c r="G118" i="1"/>
  <c r="G106" i="1"/>
  <c r="G107" i="1"/>
  <c r="G108" i="1"/>
  <c r="G99" i="1"/>
  <c r="G100" i="1"/>
  <c r="G101" i="1"/>
  <c r="G102" i="1"/>
  <c r="G103" i="1"/>
  <c r="G104" i="1"/>
  <c r="G96" i="1"/>
  <c r="G97" i="1"/>
  <c r="G94" i="1"/>
  <c r="G95" i="1" s="1"/>
  <c r="E12" i="2" s="1"/>
  <c r="G82" i="1"/>
  <c r="G83" i="1"/>
  <c r="G86" i="1"/>
  <c r="G87" i="1"/>
  <c r="G89" i="1"/>
  <c r="G90" i="1"/>
  <c r="G91" i="1"/>
  <c r="G92" i="1"/>
  <c r="G77" i="1"/>
  <c r="G78" i="1"/>
  <c r="G79" i="1"/>
  <c r="G80" i="1"/>
  <c r="G68" i="1"/>
  <c r="G69" i="1"/>
  <c r="G70" i="1"/>
  <c r="G71" i="1"/>
  <c r="G72" i="1"/>
  <c r="G73" i="1"/>
  <c r="G74" i="1"/>
  <c r="G75" i="1"/>
  <c r="G62" i="1"/>
  <c r="G63" i="1"/>
  <c r="G64" i="1"/>
  <c r="G65" i="1"/>
  <c r="G66" i="1"/>
  <c r="G53" i="1"/>
  <c r="G54" i="1"/>
  <c r="G55" i="1"/>
  <c r="G56" i="1"/>
  <c r="G57" i="1"/>
  <c r="G58" i="1"/>
  <c r="G59" i="1"/>
  <c r="G60" i="1"/>
  <c r="G44" i="1"/>
  <c r="G45" i="1"/>
  <c r="G46" i="1"/>
  <c r="G47" i="1"/>
  <c r="G48" i="1"/>
  <c r="G49" i="1"/>
  <c r="G50" i="1"/>
  <c r="G51" i="1"/>
  <c r="G39" i="1"/>
  <c r="G40" i="1"/>
  <c r="G41" i="1"/>
  <c r="G42" i="1"/>
  <c r="H174" i="1" l="1"/>
  <c r="D20" i="2" s="1"/>
  <c r="H105" i="1"/>
  <c r="D14" i="2" s="1"/>
  <c r="H183" i="1"/>
  <c r="D22" i="2" s="1"/>
  <c r="G183" i="1"/>
  <c r="E22" i="2" s="1"/>
  <c r="H180" i="1"/>
  <c r="D21" i="2" s="1"/>
  <c r="H169" i="1"/>
  <c r="D19" i="2" s="1"/>
  <c r="H162" i="1"/>
  <c r="D18" i="2" s="1"/>
  <c r="G119" i="1"/>
  <c r="E16" i="2" s="1"/>
  <c r="H119" i="1"/>
  <c r="D16" i="2" s="1"/>
  <c r="H111" i="1"/>
  <c r="D15" i="2" s="1"/>
  <c r="G105" i="1"/>
  <c r="E14" i="2" s="1"/>
  <c r="H76" i="1"/>
  <c r="D9" i="2" s="1"/>
  <c r="G111" i="1"/>
  <c r="E15" i="2" s="1"/>
  <c r="G93" i="1"/>
  <c r="E11" i="2" s="1"/>
  <c r="G162" i="1"/>
  <c r="E18" i="2" s="1"/>
  <c r="C18" i="2" s="1"/>
  <c r="G169" i="1"/>
  <c r="E19" i="2" s="1"/>
  <c r="H43" i="1"/>
  <c r="D5" i="2" s="1"/>
  <c r="H52" i="1"/>
  <c r="D6" i="2" s="1"/>
  <c r="H81" i="1"/>
  <c r="D10" i="2" s="1"/>
  <c r="C12" i="2"/>
  <c r="H67" i="1"/>
  <c r="D8" i="2" s="1"/>
  <c r="G43" i="1"/>
  <c r="E5" i="2" s="1"/>
  <c r="G67" i="1"/>
  <c r="E8" i="2" s="1"/>
  <c r="H61" i="1"/>
  <c r="D7" i="2" s="1"/>
  <c r="H93" i="1"/>
  <c r="D11" i="2" s="1"/>
  <c r="G52" i="1"/>
  <c r="E6" i="2" s="1"/>
  <c r="G76" i="1"/>
  <c r="E9" i="2" s="1"/>
  <c r="G174" i="1"/>
  <c r="E20" i="2" s="1"/>
  <c r="G61" i="1"/>
  <c r="E7" i="2" s="1"/>
  <c r="G81" i="1"/>
  <c r="E10" i="2" s="1"/>
  <c r="G180" i="1"/>
  <c r="E21" i="2" s="1"/>
  <c r="H143" i="1"/>
  <c r="D17" i="2" s="1"/>
  <c r="G143" i="1"/>
  <c r="E17" i="2" s="1"/>
  <c r="H98" i="1"/>
  <c r="D13" i="2" s="1"/>
  <c r="G98" i="1"/>
  <c r="E13" i="2" s="1"/>
  <c r="C20" i="2" l="1"/>
  <c r="C19" i="2"/>
  <c r="C21" i="2"/>
  <c r="C14" i="2"/>
  <c r="C9" i="2"/>
  <c r="C22" i="2"/>
  <c r="C16" i="2"/>
  <c r="C15" i="2"/>
  <c r="C5" i="2"/>
  <c r="C11" i="2"/>
  <c r="C13" i="2"/>
  <c r="C6" i="2"/>
  <c r="C10" i="2"/>
  <c r="C8" i="2"/>
  <c r="C7" i="2"/>
  <c r="C17" i="2"/>
</calcChain>
</file>

<file path=xl/sharedStrings.xml><?xml version="1.0" encoding="utf-8"?>
<sst xmlns="http://schemas.openxmlformats.org/spreadsheetml/2006/main" count="278" uniqueCount="249">
  <si>
    <t>Bemerkungen</t>
  </si>
  <si>
    <t>Punkte Ist</t>
  </si>
  <si>
    <t>Punkte Soll</t>
  </si>
  <si>
    <t>Ist ein geregelter Prozess zur Melde- und Informationspflicht mit Festlegung der Prozessverantwortlichen eingerichtet?</t>
  </si>
  <si>
    <t>Ist die Beteiligung des betrieblichen Datenschutzbeauftragten geregelt?</t>
  </si>
  <si>
    <t>Ist bei Auftragsdatenverarbeitern die Meldung an den Auftraggeber geregelt?</t>
  </si>
  <si>
    <t>Information der Betroffenen</t>
  </si>
  <si>
    <t>Bestellung prüfen</t>
  </si>
  <si>
    <t>Sind die Rechte, Unabhängigkeit und Weisungsfreiheit des Datenschutzbeauftragten geregelt und gewährleistet?</t>
  </si>
  <si>
    <t>Sind die internen und externen Aufgaben des Datenschutzbeauftragten schriftlich und klar geregelt?</t>
  </si>
  <si>
    <t>Ist die organistorische Einbindung des Datenschutzbeauftragten geregelt?</t>
  </si>
  <si>
    <t>Ist die Verantwortlichkeit für die Führung des Verzeichnisses über die Verarbeitungstätigkeiten geregelt?</t>
  </si>
  <si>
    <t>Ist die Übersicht über die Verarbeitungstätigkeiten hinsichtlich der vorgeschriebenen Inhalte aktuell?</t>
  </si>
  <si>
    <t>Sind die technischen und organisatorischen Maßnahmen zur Gewährleistung eines angemessenen Schutzniveaus beschrieben?</t>
  </si>
  <si>
    <t>Rechtmäßigkeit und Zwecke</t>
  </si>
  <si>
    <t>Technische und organisatorische Maßnahmen</t>
  </si>
  <si>
    <t>Beschränkungen</t>
  </si>
  <si>
    <t>Rechtsgrundlagen</t>
  </si>
  <si>
    <t>Rechte der Betroffenen</t>
  </si>
  <si>
    <t>Recht auf Auskunft</t>
  </si>
  <si>
    <t>Recht auf Berichtigung</t>
  </si>
  <si>
    <t>Ist die Übertragbarkeit von Daten durch ein geregeltes Verfahren sichergestellt?</t>
  </si>
  <si>
    <t>Besondere Datenarten</t>
  </si>
  <si>
    <t>Dauer der Identifizierbarkeit</t>
  </si>
  <si>
    <t>Grundsätzliche Regelungen</t>
  </si>
  <si>
    <t>Gemeinsam Verantwortliche</t>
  </si>
  <si>
    <t>Sind die erforderlichen Vereinbarungen abgeschlossen?</t>
  </si>
  <si>
    <t>Führung von Personalakten</t>
  </si>
  <si>
    <t xml:space="preserve">Sonstige Nutzungen </t>
  </si>
  <si>
    <t>Kommunikations-systeme</t>
  </si>
  <si>
    <t>Nutzung von Kundendaten für Werbung</t>
  </si>
  <si>
    <t>Datenerhebung von anderen Stellen</t>
  </si>
  <si>
    <t>Erhebung vom Betroffenen mit Einwilligung</t>
  </si>
  <si>
    <t>Zweckänderung</t>
  </si>
  <si>
    <t>Durchführung der Werbung</t>
  </si>
  <si>
    <t>Einwilligungen</t>
  </si>
  <si>
    <t>Allgemeine Regelungen</t>
  </si>
  <si>
    <t>Scoring Bonitäts-auskünfte</t>
  </si>
  <si>
    <t>Informationen über Forderungen</t>
  </si>
  <si>
    <t>Einzelfallübermitt-lungen</t>
  </si>
  <si>
    <t>Werden Daten auch für andere Zwecke verarbeitet und wird die Vereinbarkeit mit dem ursprünglichen Zweck beachtet?</t>
  </si>
  <si>
    <t>Sind die Daten aktuell, sachlich richtig, den Zwecken angemessen und auf das Notwendige beschränkt?</t>
  </si>
  <si>
    <t>Werden die Daten nach Ablauf der Speicherfristen regelmäßig gelöscht bzw. vernichtet und ist das Verfahren geregelt?</t>
  </si>
  <si>
    <t>Sind Rechtsgrundlagen für die Verarbeitung vorhanden und dokumentiert?</t>
  </si>
  <si>
    <t>Werden bei Zweckänderungen die Rechtsgrundlagen für die Zweckänderung geprüft und dokumentiert?</t>
  </si>
  <si>
    <t xml:space="preserve">Werden ggf. erforderliche Einwilligungen nachweisbar dokumentiert? </t>
  </si>
  <si>
    <t>Ist die Dauer der Identifizierbarkeit auf den erforderlichen Zeitram begrenzt und werden nicht mehr erforderliche Identifizierungsdaten regelmäßig gelöscht?</t>
  </si>
  <si>
    <t>Sind Form, Inhalt und Verfahren der Meldung an die Aufsichtsbehörde und zur Unterrichtung der Betroffenen geregelt?</t>
  </si>
  <si>
    <t>Sind alle informationspflichtigen Datenerhebungsvorgänge identifiziert?</t>
  </si>
  <si>
    <t>Werden ggf. erforderliche Einwilligungen eingeholt und nachweisbar dokumentiert?</t>
  </si>
  <si>
    <t>Ist ggf. das Verfahren zur Verarbeitung von besonderen Datenarten für automatisierte Einzelentscheidungen und Profiling geregelt?</t>
  </si>
  <si>
    <t>Werden ggf. erforderliche Einwilligungen zur Verarbeitung von besonderen Datenarten eingeholt und nachweisbar dokumentiert?</t>
  </si>
  <si>
    <t>Werden die Rechte der Beschäftigten auf Information, Auskunft etc. beachtet?</t>
  </si>
  <si>
    <t>Werden die Vorschriften zur Mitbestimmung beachtet?</t>
  </si>
  <si>
    <t>Ist das Verfahren hinsichtlich der Rechte der Betroffenen geregelt?</t>
  </si>
  <si>
    <t>Ist das Verfahren zum Umgang mit Bewerbungen geregelt und werden diese Regelungen eingehalten?</t>
  </si>
  <si>
    <t>Werden die Grenzen des Fragerechts beachtet?</t>
  </si>
  <si>
    <t>Werden bei der Erhebung von Personaldaten die Informationspflichten beachtet?</t>
  </si>
  <si>
    <t xml:space="preserve">Sind die Personaldaten sicher aufbewahrt, ggf. vorschriftsmäßig elektronisch archiviert? </t>
  </si>
  <si>
    <t>Ist ein Verfahren zu Rückkehrgesprächen und zur  Dokumentation eingerichtet?</t>
  </si>
  <si>
    <t>Ist ein Verfahren zum Eingliederungsmanagement eingerichtet?</t>
  </si>
  <si>
    <t>Ist bei bei einem Einsatz von Personalberatern die Beauftragung des Beraters und die Information der Bewerber geregelt?</t>
  </si>
  <si>
    <t>Werden Gesundheitsdaten besonders geschützt und vertraulich abgelegt und verwaltet?</t>
  </si>
  <si>
    <t>Sind für die  Personalakten und einzelne Inhalte Aufbewahrungsfristen festgelegt und werden diese regelmäßig vernichtet bzw. gelöscht?</t>
  </si>
  <si>
    <t>Werden Beschäftigtendaten für interne Zwecke genutzt und wird die Zulässigkeit der Nutzung kontrolliert?</t>
  </si>
  <si>
    <t>Ist die private Nutzung von IT- und Kommunikationssystemen geregelt?</t>
  </si>
  <si>
    <t>Wird die Abwägung der Verarbeitungsinteressen gegen die schutzwürdigen Betroffeneninteressen dokumentiert?</t>
  </si>
  <si>
    <t>Werden die Betroffenen über die Erhebung und Nutzung informiert?</t>
  </si>
  <si>
    <t>Werden Widersprüche dokumentiert und beachtet?</t>
  </si>
  <si>
    <t>Werden Fremdadressen genutzt (zugekauft) und ihre Qualifikation für die beabsichtigten Nutzungen geprüft?</t>
  </si>
  <si>
    <t>Werden ggf. erforderliche Einwilligungen eingeholt und nachvollziehbar dokumentiert?</t>
  </si>
  <si>
    <t>Werden Widersprüche dokumentiert und zuverlässig beachtet?</t>
  </si>
  <si>
    <t>Verarbeitung im berechtigten Interesse</t>
  </si>
  <si>
    <t>Werden die Verarbeitungszwecke festgelegt und dokumentiert?</t>
  </si>
  <si>
    <t>Werden die Betroffenen über die Verarbeitung unterrichtet?</t>
  </si>
  <si>
    <t>Werden Widersprüche zuverlässig dokumentiert und beachtet?</t>
  </si>
  <si>
    <t>Werden beabsichtigte Zweckänderungen auf ihre Zulässigkeit geprüft und die Prüfung dokumentiert?</t>
  </si>
  <si>
    <t>Werden für die Zweckänderung ggf. erforderliche Einwilligungen eingeholt und dokumentiert?</t>
  </si>
  <si>
    <t>Werden die Betroffenen über die Zweckänderung informiert?</t>
  </si>
  <si>
    <t>Wird  bei einer Auftragsdatenverarbeitung ein Vertrag über eine DV im Auftrag abgeschlossen?</t>
  </si>
  <si>
    <t>Werden bei einer Werbung mit Telefon, Telefax oder elektronischen Medien die Vorschriften nach dem UWG beachtet?</t>
  </si>
  <si>
    <t>Werden ggf. die Voraussetzungen für die Einwilligungsfähigkeit geprüft und dokumentiert?</t>
  </si>
  <si>
    <t>Werden die Betroffenen über die Widerrufsmöglichkeiten informiert?</t>
  </si>
  <si>
    <t>Werden die besonderen Anforderungen in die Verarbeitung besonderer Datenarten beachtet?</t>
  </si>
  <si>
    <t>Werden Anschriftendaten genutzt und die Betroffenen darüber informiert?</t>
  </si>
  <si>
    <t>Werden für die Nutzung der Daten die besonderen Voraussetzungen des § 31 Abs. 2 BDSDG-neu beachtet?</t>
  </si>
  <si>
    <t>Werden die Betroffenen bei Vertragsablehnungen wegen schlechter Scorewerte unterrichtet?</t>
  </si>
  <si>
    <t>Liegen Angemessenheitsbeschlüsse der EU-Kommission vor und sind diese ausreichend?</t>
  </si>
  <si>
    <t>Andere geeignete Garantien</t>
  </si>
  <si>
    <t>Bestehen sonstige (individuelle) Rechtsgrundlagen für eine Übermittlung?</t>
  </si>
  <si>
    <t>Sind ggf. Einzelfallübermittlungen geregelt und werden die Übermittlungen geprüft und dokumentiert?</t>
  </si>
  <si>
    <t>Werden bei Einzelfallübermittlungen die Betroffenen und die Aufsichtsbehörde informiert?</t>
  </si>
  <si>
    <t>Risikoermittlung</t>
  </si>
  <si>
    <t>Ist ein geregeltes Verfahren zur Risikoermittlung und Risikobewertung eingerichtet?</t>
  </si>
  <si>
    <t>Ist ein geregeltes Verfahren zur Datenschutzfolgenabschätzung eingerichtet?</t>
  </si>
  <si>
    <t>Abdeckungsgrad des Datenschutz-managements</t>
  </si>
  <si>
    <t>Sind Anforderungen des Datenschutzmanagements durch ein QM-System nach DIN/ISO 9000 abgedeckt?</t>
  </si>
  <si>
    <t>Datenschutzziele und Strategien</t>
  </si>
  <si>
    <t>Bestellung eines Datenschutz-beauftragten</t>
  </si>
  <si>
    <t>Grundsätze der Verarbeitung</t>
  </si>
  <si>
    <t>Verarbeitung von besonderen Datenarten</t>
  </si>
  <si>
    <t>Summe</t>
  </si>
  <si>
    <t>Rechtmäßigkeit der Verarbeitung</t>
  </si>
  <si>
    <t xml:space="preserve"> </t>
  </si>
  <si>
    <t>Istwert</t>
  </si>
  <si>
    <t>Sollwert</t>
  </si>
  <si>
    <t>Bestellung eines Datenschutzbeauftragten</t>
  </si>
  <si>
    <t>Übersicht über Verarbeitungstätigkeiten</t>
  </si>
  <si>
    <t>Grundsätze der Datenverarbeitung</t>
  </si>
  <si>
    <t>Verfahren zur Rechteerfüllung</t>
  </si>
  <si>
    <t>Nichtidentifizierbare Personen</t>
  </si>
  <si>
    <t>Automatisierte Einzelentscheidung und Profiling</t>
  </si>
  <si>
    <t>Gemeinsam Verantwortliche und Auftrgsdatenverarbeiter</t>
  </si>
  <si>
    <t>Scoring, Bonitätsauskünfte</t>
  </si>
  <si>
    <t>Verarbeitung von Personaldaten</t>
  </si>
  <si>
    <t>Risiko- und Schutzbedarfsermittlung Datenschutzfolgenabschätzung</t>
  </si>
  <si>
    <t>Datenübermittlung in Drittländer</t>
  </si>
  <si>
    <t>Veararbeitung von Personaldaten</t>
  </si>
  <si>
    <t>Zweckänderungen</t>
  </si>
  <si>
    <t>Nicht identifizierbare Personen</t>
  </si>
  <si>
    <t xml:space="preserve">Ist die Dokumentation von Art, Umfang, Ausmaß und Risiko der Datenschutzverletzung geregelt? </t>
  </si>
  <si>
    <t>Legende</t>
  </si>
  <si>
    <t xml:space="preserve">Trifft zu </t>
  </si>
  <si>
    <t>0  nicht relevant</t>
  </si>
  <si>
    <t>1  relevant</t>
  </si>
  <si>
    <t>Erfüllungsgrad</t>
  </si>
  <si>
    <t>0  Keine Datenschutzregelungen vorhanden</t>
  </si>
  <si>
    <t>1  Datenschutzanforderungen in geringem Umfang erfüllt</t>
  </si>
  <si>
    <t>2  Wesentliche Datenschutzanforderungen erfüllt</t>
  </si>
  <si>
    <t>3  Datenschutzanforderungen überwiegend erfüllt</t>
  </si>
  <si>
    <t>4  Datenschutzanforderungen vollständig erfüllt</t>
  </si>
  <si>
    <t>Management- Strategien zum Datenschutz</t>
  </si>
  <si>
    <t>Widerspruchsrecht</t>
  </si>
  <si>
    <t>Rechtsgrundlagen, Einwilligungen</t>
  </si>
  <si>
    <t>Wahrscheinlich-keitswerte für Verträge</t>
  </si>
  <si>
    <t>Werden Widersprüche gegen die Zweckänderung dokumentiert und zuverlässig beachtet?</t>
  </si>
  <si>
    <t>Ist das Verfahren zur Aufdeckung von Straftaten im Beschäftigungsverhältnis geregelt?</t>
  </si>
  <si>
    <t>Ist die Information der Betroffenen auch bei einer Weiterverarbeitung der Daten für andere Zuwecke geregelt?</t>
  </si>
  <si>
    <t>Ist die Beachtung der Verfahrensvorschriften für die Erfüllung der Betroffenenrechte gewährleistet?</t>
  </si>
  <si>
    <t>Sind bei Zweckänderungen evtl. erforderliche Einwilligungen vorhanden und dokumentiert?</t>
  </si>
  <si>
    <t>Werden ggf. Beschränkungen i. S. v. Art. 23 DSGVO beachtet?</t>
  </si>
  <si>
    <t>Sind  bei Speicherung im öffentlichen Interesse, für wissenschaftliche, historische und statistische Zwecke geeignete technische und organisatorische Maßnahmen eingerichtet und dokumentiert?</t>
  </si>
  <si>
    <t>Werden Einrichtung, Aktualität und Eignung der zur Sicherheit der Daten eingerichteten technischen und organisatorischen Maßnahmen regelmäßig geprüft?</t>
  </si>
  <si>
    <t>Sind die Managementanforderungen des Datenschutzes (Datenschutzziele und Strategien etc.) erfüllt?</t>
  </si>
  <si>
    <t>Datenschutzmanagement, Strategien zum Datenschutz</t>
  </si>
  <si>
    <t>Melde- und Informationspflicht bei Datenschutzverletzungen</t>
  </si>
  <si>
    <t>Sind Anforderungen des Datenschutzmanagements durch andere Management-/Kontrollsysteme (z.B. Internes Kontrollsystem - IKS, SOX etc.) abgedeckt?</t>
  </si>
  <si>
    <t>Ist im Falle einer Nichtbestellung die Wahrnehmung der Datenschutzaufgaben auf andere Weise gewährleistet?</t>
  </si>
  <si>
    <t>Ist die Bestellpflicht eines Datenschutzbeauftragten geprüft und entschieden?</t>
  </si>
  <si>
    <t>Ist ein Datenschutzbeauftragter bestellt?</t>
  </si>
  <si>
    <t>Wird die Rechtmäßigkeit der Verarbeitung und Verarbeitung für ausschließlich festgelegte, eindeutige und rechtmäßige Zwecke beachtet und geprüft?</t>
  </si>
  <si>
    <t>Ist die Speicherung des Personenbezugs nur für  die Dauer der Zweckerreichung beschränkt und sind die Aufbewahrungsfristen geregelt?</t>
  </si>
  <si>
    <t>Ist das Verfahren bei einer Auskunftsverweigerung geregelt?</t>
  </si>
  <si>
    <t>Ist die Information der Betroffenen bei einer Datenerhebung von anderen Stellen geregelt?</t>
  </si>
  <si>
    <t>Sind die Berichtigung von Daten und ggf. die Benachrichtigung von Empfängern sowie das Verfahren nach der DSGVO geregelt?</t>
  </si>
  <si>
    <t>Recht auf Löschung</t>
  </si>
  <si>
    <t>Ist zur Wahrnehmung des Rechts auf Löschung/Vergessenwerden ein Verfahren eingereichtet und sind die Besonderheiten und Ausnahmen geregelt?</t>
  </si>
  <si>
    <t>Recht auf Einschränkung der Verarbeitung</t>
  </si>
  <si>
    <t>Ist für das Recht auf Einschränkung der Verarbeitung ein Verfahren eingerichtet und sind die Einzelheiten des Rechts auf Einschränkung der Verarbeitung geregelt?</t>
  </si>
  <si>
    <t>Ist die Information über das Recht auf Widerspruch und deren Dokumentation sowie die Beachtung von Widersprüchen geregelt und sichergestellt?</t>
  </si>
  <si>
    <t>Werden die Voraussetzungen für die Verarbeitung von besonderen Datenarten beachtet und ggf.  erforderliche Einwilligungen eingeholt?</t>
  </si>
  <si>
    <t>Sind die Information der Betroffenen und die Ausnahmen von der Informartionspflicht geregelt und werden die Betroffenen nachweisbar informiert?</t>
  </si>
  <si>
    <t>Datenerhebung vom Betroffenen</t>
  </si>
  <si>
    <t>Ist die Zulässigkeit von Zweckänderungen geregelt und wird die Zulässigkeit geprüft und dokumentiert?</t>
  </si>
  <si>
    <t>Sind angemessene Maßnahmen zum Schutz der Rechte und Freiheiten der Betroffenen eingerichtet und dokumentiert?</t>
  </si>
  <si>
    <t>Ist die Wahrnehmung der Rechte der Betroffenen geregelt (Anlaufstelle, Einsichtsrechte, Verfügbarkeit der Unterlagen zur Einsichtnahme)?</t>
  </si>
  <si>
    <t>Sind die erforderlichen Verträge mit den vorgeschriebenen Regelungen abgeschlosssen?</t>
  </si>
  <si>
    <t>Werden die erforderlichen Einwilligungen (ggf. auch vom Träger der elterlichen Verantwortung) zuverlässig und nachvollziehbar dokumentiert?</t>
  </si>
  <si>
    <t>Werden die Anforderungen an die Form der Einwilligung (Information, Transparenz, Trennung der Sachverhalte, Freiwilligkeit, Koppelungsverbot etc.) beachtet?</t>
  </si>
  <si>
    <t>Werden Werbewidersprüche nachvollziehbar dokumentiert und zuverlässig beachtet?</t>
  </si>
  <si>
    <t>Werden anerkannte wissenschaftlich-statistische Methoden genutzt und ist die Erheblichkeit der genutzten Daten nachgewiesen?</t>
  </si>
  <si>
    <t>Sind erforderlichenfalls andere geeignete Garantien vorhanden und sind diese vollständig, ausreichend und aktuell?</t>
  </si>
  <si>
    <t>Werden die Beschäftigten über eventuelle sonstige Verarbeitungen oder Offenbarungen informiert?</t>
  </si>
  <si>
    <t>Bestehen zu diesen Nutzungen die erforderlichen Betriebsvereinbarungen bzw. Verfahrensanweisungen?</t>
  </si>
  <si>
    <t>So arbeiten Sie ganz einfach mit dieser Tabelle zur Bewertung der Datenschutzprozesse nach der DSGVO:</t>
  </si>
  <si>
    <t>0 = nicht relevant</t>
  </si>
  <si>
    <t>1 = relevant</t>
  </si>
  <si>
    <t>0 = Keine Datenschutzregelungen vorhanden</t>
  </si>
  <si>
    <t>1 = Datenschutzanforderungen in geringem Umfang erfüllt</t>
  </si>
  <si>
    <t>2 = Wesentliche Datenschutzanforderungen erfüllt</t>
  </si>
  <si>
    <t>3 = Datenschutzanforderungen überwiegend erfüllt</t>
  </si>
  <si>
    <t>4 = Datenschutzanforderungen vollständig erfüllt</t>
  </si>
  <si>
    <t>Trifft zu</t>
  </si>
  <si>
    <t>Sind Anforderungen des Datenschutzmanagements durch ein IT-Sicherheitsmanagementsystem (z.B. ISO/IEC 27001) abgedeckt?</t>
  </si>
  <si>
    <t>Prozess / Thema</t>
  </si>
  <si>
    <t>Hauptthema</t>
  </si>
  <si>
    <t>Zu überprüfende Maßnahme</t>
  </si>
  <si>
    <t>Melde- und Informationspflicht bei Datenschutz-verletzungen</t>
  </si>
  <si>
    <t>Ist ein Verfahren zur Beurteilung des Risikos für die Rechte und Freiheiten der Betroffenen geregelt, z.B. mit einem Prüf- und Dokumentationsformular?</t>
  </si>
  <si>
    <t>Ist ein Verfahren zur Beurteilung der Informations-pflicht an die Betroffenen eingerichtet?</t>
  </si>
  <si>
    <t>Ist ein Verfahren zur sicherheitstechnischen Behandlung der Vorfälle (Analyse, Fehler-beseitigung, Vorbeugungsmaßnahmen und Dokumentation) eingerichtet?</t>
  </si>
  <si>
    <t>Sind die Kontaktdaten des Datenschutz-beauftragten veröffentlicht?</t>
  </si>
  <si>
    <t>Sind die Kontaktdaten des Datenschutz-beauftragten der Aufsichtsbehörde gemeldet?</t>
  </si>
  <si>
    <t>Übersicht über Verarbeitungs-tätigkeiten</t>
  </si>
  <si>
    <t>Ist die Verpflichtung zur Führung einer Übersicht über die Verarbeitungstätigkeiten geprüft und ggf. eine Übersicht über diese angelegt?</t>
  </si>
  <si>
    <t>Ist eine regelmäßige Kontrolle der Verabeitungs-übersicht geregelt, ggf. in welcher Weise?</t>
  </si>
  <si>
    <t>Ist ein Verfahren zur Erfüllung der Rechte der Betroffenen, zur Behandlung von deren Beschwerden und zur Beteiligung des Datenschutzbeauftragten eingerichtet und sind die Beschäftigten in das Verfahren eingewiesen?</t>
  </si>
  <si>
    <t>Ist die Auskunftserteilung und das Zurverfügungstellen der Auskunft durch ein geregeltes Verfahren sichergestellt?</t>
  </si>
  <si>
    <t>Sind die Speicher- und Aufbewahrungsfristen für Daten geregelt?</t>
  </si>
  <si>
    <t>Recht auf Daten-übertragbarkeit</t>
  </si>
  <si>
    <t>Gemeinsam Verantwortliche  und Auftragsverarbeiter</t>
  </si>
  <si>
    <t>Ist das Verfahren zu automatisierten Einzelentscheidungen und Profiling einschließlich der Ausnahmen gem. § 37 BDSG-neu geregelt?</t>
  </si>
  <si>
    <t>Sind alle informationspflichtigen Datenerhebungs-vorgänge von anderen Stellen identifiziert?</t>
  </si>
  <si>
    <t>Auftrags-verarbeitungen</t>
  </si>
  <si>
    <t>Sind ggf. die erforderlichen Drittstaaten-regelungen getroffen?</t>
  </si>
  <si>
    <t>Ist das Verfahren für die Auftragsvergabe und den Abschluss von Verträgen einschließlich deren Inhalte geregelt?</t>
  </si>
  <si>
    <t>Sind die Auftragsverarbeitungen dokumentiert und ist ein Verfahren zur laufenden Kontrolle der Auftragnehmer und eventueller Unter-auftragnehmer geregelt?</t>
  </si>
  <si>
    <t>Bewerbungs-verfahren</t>
  </si>
  <si>
    <t>Rückkehr-gespräche</t>
  </si>
  <si>
    <t>Werden bei einer Verarbeitung von Personaldaten auf der Grundlage von Einwilligungen die Anforderungen an eine rechtswirksame Einwilligung erfüllt?</t>
  </si>
  <si>
    <t>Ist bei einem evtl. Whistleblowingverfahren ein geregeltes Meldeverfahren eingeführt und ist die Wahrung der Rechte der Beteiligten (Hinweisgeber und Betroffene) gewährleistet?</t>
  </si>
  <si>
    <t>Werden evtl. vorhandene betriebsärztliche Unterlagen vertraulich verwaltet?</t>
  </si>
  <si>
    <t>Sind die erforderlichen technischen und organisatorischen Maßnahmen zum Schutz der Beschäftigtendaten eingerichtet und dokumentiert?</t>
  </si>
  <si>
    <t>Wird ein Bewerberportal eingesetzt, wenn ja, ist der Einsatz geregelt und werden die Regelungen dazu eingehalten?</t>
  </si>
  <si>
    <t>Bestehen Zugriffsregeln auf die Personalakten und sind die Zugriffsrechte auf den Mindestumfang beschränkt?</t>
  </si>
  <si>
    <t>Werden bei der Erhebung die Verarbeitungs-zwecke festgelegt und die berechtigten Verarbeitungsinteressen geprüft und dokumentiert?</t>
  </si>
  <si>
    <t>Wird die Abwägung der Verarbeitungsinteressen und der schutzwürdigen Betroffeneninteressen dokumentiert?</t>
  </si>
  <si>
    <t>Werden die Betroffenen über ihr Widerspruchs-recht informiert?</t>
  </si>
  <si>
    <t>Angemessenheits-beschlüsse der EU-Kommission</t>
  </si>
  <si>
    <t>Datenübermittlun-gen in Drittländer</t>
  </si>
  <si>
    <t>Risiko- und Schutz-bedarfsermittlung</t>
  </si>
  <si>
    <t>Datenschutz-folgenabschätzung</t>
  </si>
  <si>
    <t>Verfahrensvorschrif-ten zur Ausübung der Rechte</t>
  </si>
  <si>
    <t>und der eingerichteten Datenschutzprozesse</t>
  </si>
  <si>
    <t>Erfüllung der rechtlichen Anforderungen der DSGVO</t>
  </si>
  <si>
    <t>Sollwert in %</t>
  </si>
  <si>
    <t>Istwert in %</t>
  </si>
  <si>
    <t>Wird ggf. die Nichtidentifizierbarkeit festgestellt und der Betroffene soweit möglich unterrichtet, z.B. über eine Funktionsadresse?</t>
  </si>
  <si>
    <t>Bewertung der Datenschutzprozesse nach DSGVO</t>
  </si>
  <si>
    <t>In der Spalte „trifft zu“ wird mit „0“ oder „1“ angegeben, ob das jeweilige Kriterium für das Unternehmen relevant ist oder nicht.</t>
  </si>
  <si>
    <t>In der Spalte „Erfüllungsgrad“ wird angegeben, in welchem Maß die Datenschutzanforderung erfüllt ist. Folgende Skalierung wird verwendet:</t>
  </si>
  <si>
    <t>In einem Vergleich über einen längeren Zeitraum wird auch die Entwicklung des Datenschutzes erkennbar.</t>
  </si>
  <si>
    <t>den Erfüllungsgrad für jeden einzelnen Datenschutzprozess.</t>
  </si>
  <si>
    <t xml:space="preserve">Die Datenschutzbewertungstabelle vermittelt einen schnellen Überblick über den Stand des Datenschutzes im Unternehmen, denn sie zeigt in einer grafischen Übersicht </t>
  </si>
  <si>
    <t>in einer verbindlichen Form der Stand des Datenschutzes vermittelt und eventuelle Handlungsbedarfe aufgezeigt.</t>
  </si>
  <si>
    <t xml:space="preserve">Die Bewertungstabelle kann als Anlage zum Datenschutzbericht des Datenschutzbeauftragten an die Geschäftsleitung verwendet werden.  Der Geschäftsleitung werden </t>
  </si>
  <si>
    <t>Zweckmäßig ist die Abstimmung des Erfüllungsgrades der einzelnen Kriterien mit den Prozessverantwortlichen bereits bei der Erhebung bzw. den laufenden Kontrollen</t>
  </si>
  <si>
    <t>der Datenschutzprozesse. Auf diese Weise werden spätere Diskussionen mit den Fachverantwortlichen vermieden und die Ergebnisse der Bewertungen in der Tabelle</t>
  </si>
  <si>
    <t>Erfüllung der Datenschutzanforderungen dienen.</t>
  </si>
  <si>
    <t xml:space="preserve">sind belastbar. Sie können auf diese Weise sofort als Beleg- und Nachweisdokument nicht nur für die Durchführung der Erhebungen und Kontrollen, sondern auch für die </t>
  </si>
  <si>
    <t xml:space="preserve">Dies schließt natürlich nicht aus, dass der Datenschutzbeauftragte auch von der Position der Fachbereichsverantwortlichen abweichende Positionen vertritt und Maßnah- </t>
  </si>
  <si>
    <t>men bzw. Korrekturen der Verarbeitungsprozesse fordert. Der Vorteil dieser Vorgehensweise liegt darin, evtl. bereits abgestimmte Lösungsvorschläge aufgezeigt werden</t>
  </si>
  <si>
    <t xml:space="preserve">können und Grundsatzdiskussionen über den Erfüllungsgrad vor der Geschäftsleitung weitgehend vermieden werden können. Darüber hinaus fördert dies auch die </t>
  </si>
  <si>
    <t>Zusammenarbeit zwischen dem Datenschutzbeauftragten und den Fachbereichsverantwortlichen.</t>
  </si>
  <si>
    <t xml:space="preserve">Die Gliederung der Bewertungstabelle folgt den eingerichteten Datenschutzprozessen und innerhalb dieser der Gliederung der zugeordneten Checklisten. </t>
  </si>
  <si>
    <t xml:space="preserve">Zur Bewertung werden die Erfüllungsgrade aus den jeweiligen Checklisten in die Bewertungstabelle übernommen. Kurze Bemerkungen können in diese übernommen </t>
  </si>
  <si>
    <t>werden und dienen der Erläuterung der Feststellungen. Ausführlichere Anmerkungen werden zu den Checklisten genommen und dort ggf. als Anlage dokumentiert.</t>
  </si>
  <si>
    <t>übernommen. Diese errechnet dann für jeden Datenschutzprozess den prozentualen Erfüllungsgrad und erzeugt eine grafische Auswertung in Tabellenblatt „Grafik“.</t>
  </si>
  <si>
    <t>Die Tabelle erzeugt dann für jeden Prozess als Summe die Ist Punktzahl und die Sollpunktzahl. Diese Werte werden im Tabellenblatt „Erfüllungsgrad“ in die Ergebnistabelle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</si>
</sst>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</font>
    <font>
      <sz val="11"/>
      <name val="Arial"/>
      <family val="2"/>
    </font>
    <font>
      <sz val="14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0.79998168889431442"/>
      <name val="Arial"/>
      <family val="2"/>
    </font>
    <font>
      <b/>
      <sz val="11"/>
      <color theme="4" tint="-0.499984740745262"/>
      <name val="Arial"/>
      <family val="2"/>
    </font>
    <font>
      <sz val="11"/>
      <color theme="4" tint="-0.499984740745262"/>
      <name val="Arial"/>
      <family val="2"/>
    </font>
    <font>
      <sz val="11"/>
      <color theme="4" tint="0.7999816888943144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4659260841701"/>
        <bgColor indexed="64"/>
      </patternFill>
    </fill>
  </fills>
  <borders count="37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double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0.79998168889431442"/>
      </left>
      <right style="thin">
        <color theme="4" tint="0.79998168889431442"/>
      </right>
      <top style="double">
        <color indexed="64"/>
      </top>
      <bottom style="double">
        <color theme="4" tint="0.79998168889431442"/>
      </bottom>
      <diagonal/>
    </border>
    <border>
      <left style="thin">
        <color theme="4" tint="0.79998168889431442"/>
      </left>
      <right style="double">
        <color indexed="64"/>
      </right>
      <top style="double">
        <color indexed="64"/>
      </top>
      <bottom style="double">
        <color theme="4" tint="0.79998168889431442"/>
      </bottom>
      <diagonal/>
    </border>
    <border>
      <left/>
      <right/>
      <top/>
      <bottom style="double">
        <color theme="4" tint="0.7999816888943144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double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double">
        <color theme="4" tint="-0.499984740745262"/>
      </left>
      <right style="thin">
        <color theme="4" tint="-0.499984740745262"/>
      </right>
      <top/>
      <bottom/>
      <diagonal/>
    </border>
    <border>
      <left style="double">
        <color theme="4" tint="-0.499984740745262"/>
      </left>
      <right/>
      <top style="thin">
        <color theme="4" tint="0.79998168889431442"/>
      </top>
      <bottom style="double">
        <color theme="4" tint="0.7999816888943144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double">
        <color indexed="64"/>
      </left>
      <right style="thin">
        <color theme="4" tint="0.79998168889431442"/>
      </right>
      <top style="double">
        <color indexed="64"/>
      </top>
      <bottom/>
      <diagonal/>
    </border>
    <border>
      <left style="double">
        <color theme="4" tint="-0.499984740745262"/>
      </left>
      <right/>
      <top style="thin">
        <color theme="4" tint="0.79998168889431442"/>
      </top>
      <bottom style="thin">
        <color theme="4" tint="-0.499984740745262"/>
      </bottom>
      <diagonal/>
    </border>
    <border>
      <left style="double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/>
      <top style="thin">
        <color theme="4" tint="-0.499984740745262"/>
      </top>
      <bottom style="double">
        <color theme="4" tint="0.79998168889431442"/>
      </bottom>
      <diagonal/>
    </border>
    <border>
      <left style="double">
        <color theme="4" tint="-0.499984740745262"/>
      </left>
      <right style="thin">
        <color theme="4" tint="0.79998168889431442"/>
      </right>
      <top style="double">
        <color theme="4" tint="-0.499984740745262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double">
        <color theme="4" tint="-0.499984740745262"/>
      </top>
      <bottom/>
      <diagonal/>
    </border>
    <border>
      <left style="thin">
        <color theme="4" tint="0.79998168889431442"/>
      </left>
      <right style="double">
        <color theme="4" tint="-0.499984740745262"/>
      </right>
      <top style="double">
        <color theme="4" tint="-0.499984740745262"/>
      </top>
      <bottom/>
      <diagonal/>
    </border>
    <border>
      <left style="double">
        <color theme="4" tint="-0.499984740745262"/>
      </left>
      <right/>
      <top style="thin">
        <color theme="4" tint="0.79995117038483843"/>
      </top>
      <bottom style="thin">
        <color theme="4" tint="0.79998168889431442"/>
      </bottom>
      <diagonal/>
    </border>
    <border>
      <left style="double">
        <color theme="4" tint="-0.49998474074526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double">
        <color theme="4" tint="-0.499984740745262"/>
      </left>
      <right/>
      <top style="thin">
        <color theme="4" tint="0.79998168889431442"/>
      </top>
      <bottom style="double">
        <color theme="4" tint="-0.499984740745262"/>
      </bottom>
      <diagonal/>
    </border>
    <border>
      <left/>
      <right style="thin">
        <color theme="4" tint="-0.499984740745262"/>
      </right>
      <top style="double">
        <color theme="4" tint="0.79998168889431442"/>
      </top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double">
        <color theme="4" tint="-0.499984740745262"/>
      </left>
      <right style="thin">
        <color theme="4" tint="-0.499984740745262"/>
      </right>
      <top style="double">
        <color theme="4" tint="0.79998168889431442"/>
      </top>
      <bottom/>
      <diagonal/>
    </border>
    <border>
      <left style="double">
        <color theme="4" tint="-0.499984740745262"/>
      </left>
      <right style="thin">
        <color theme="4" tint="-0.499984740745262"/>
      </right>
      <top/>
      <bottom style="thin">
        <color theme="4" tint="0.79998168889431442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Continuous"/>
      <protection locked="0"/>
    </xf>
    <xf numFmtId="0" fontId="2" fillId="0" borderId="0" xfId="0" applyFont="1" applyProtection="1">
      <protection locked="0"/>
    </xf>
    <xf numFmtId="2" fontId="2" fillId="0" borderId="0" xfId="0" applyNumberFormat="1" applyFont="1" applyBorder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top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top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vertical="top" wrapText="1"/>
      <protection locked="0"/>
    </xf>
    <xf numFmtId="0" fontId="4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vertical="top" wrapText="1"/>
      <protection locked="0"/>
    </xf>
    <xf numFmtId="0" fontId="4" fillId="3" borderId="6" xfId="0" applyFont="1" applyFill="1" applyBorder="1" applyAlignment="1">
      <alignment vertical="top" wrapText="1"/>
    </xf>
    <xf numFmtId="0" fontId="4" fillId="3" borderId="6" xfId="0" applyFont="1" applyFill="1" applyBorder="1" applyAlignment="1" applyProtection="1">
      <alignment vertical="top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top"/>
    </xf>
    <xf numFmtId="0" fontId="4" fillId="3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vertical="top"/>
    </xf>
    <xf numFmtId="0" fontId="6" fillId="2" borderId="11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left"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14" xfId="0" applyFont="1" applyFill="1" applyBorder="1" applyAlignment="1">
      <alignment vertical="top"/>
    </xf>
    <xf numFmtId="0" fontId="4" fillId="3" borderId="19" xfId="0" applyFont="1" applyFill="1" applyBorder="1" applyAlignment="1">
      <alignment horizontal="left" vertical="top" wrapText="1"/>
    </xf>
    <xf numFmtId="0" fontId="6" fillId="2" borderId="20" xfId="0" applyFont="1" applyFill="1" applyBorder="1" applyAlignment="1">
      <alignment vertical="top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Continuous" wrapTex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8" fillId="0" borderId="0" xfId="0" applyFont="1" applyProtection="1">
      <protection locked="0"/>
    </xf>
    <xf numFmtId="0" fontId="8" fillId="3" borderId="18" xfId="0" applyFont="1" applyFill="1" applyBorder="1" applyAlignment="1" applyProtection="1">
      <alignment horizontal="center" vertical="center"/>
      <protection locked="0"/>
    </xf>
    <xf numFmtId="1" fontId="8" fillId="3" borderId="9" xfId="0" applyNumberFormat="1" applyFont="1" applyFill="1" applyBorder="1" applyAlignment="1" applyProtection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  <protection locked="0"/>
    </xf>
    <xf numFmtId="1" fontId="8" fillId="3" borderId="4" xfId="0" applyNumberFormat="1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/>
    </xf>
    <xf numFmtId="0" fontId="9" fillId="2" borderId="24" xfId="0" applyFont="1" applyFill="1" applyBorder="1" applyAlignment="1" applyProtection="1">
      <alignment vertical="top" wrapText="1"/>
      <protection locked="0"/>
    </xf>
    <xf numFmtId="0" fontId="9" fillId="2" borderId="25" xfId="0" applyFont="1" applyFill="1" applyBorder="1" applyAlignment="1" applyProtection="1">
      <alignment horizontal="center" vertical="top" wrapText="1"/>
      <protection locked="0"/>
    </xf>
    <xf numFmtId="0" fontId="9" fillId="2" borderId="26" xfId="0" applyFont="1" applyFill="1" applyBorder="1" applyAlignment="1" applyProtection="1">
      <alignment horizontal="center" vertical="top" wrapText="1"/>
      <protection locked="0"/>
    </xf>
    <xf numFmtId="0" fontId="8" fillId="3" borderId="10" xfId="0" applyFont="1" applyFill="1" applyBorder="1" applyAlignment="1" applyProtection="1">
      <alignment horizontal="center" vertical="center"/>
    </xf>
    <xf numFmtId="0" fontId="8" fillId="3" borderId="5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  <protection locked="0"/>
    </xf>
    <xf numFmtId="1" fontId="8" fillId="3" borderId="6" xfId="0" applyNumberFormat="1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 applyProtection="1">
      <alignment horizontal="center" vertical="center"/>
    </xf>
    <xf numFmtId="0" fontId="8" fillId="3" borderId="7" xfId="0" applyFont="1" applyFill="1" applyBorder="1" applyAlignment="1" applyProtection="1">
      <alignment horizontal="center" vertical="center"/>
    </xf>
    <xf numFmtId="0" fontId="9" fillId="4" borderId="27" xfId="0" applyFont="1" applyFill="1" applyBorder="1" applyAlignment="1" applyProtection="1">
      <alignment vertical="center" wrapText="1"/>
      <protection locked="0"/>
    </xf>
    <xf numFmtId="0" fontId="9" fillId="4" borderId="28" xfId="0" applyFont="1" applyFill="1" applyBorder="1" applyAlignment="1" applyProtection="1">
      <alignment vertical="center" wrapText="1"/>
      <protection locked="0"/>
    </xf>
    <xf numFmtId="0" fontId="9" fillId="4" borderId="29" xfId="0" applyFont="1" applyFill="1" applyBorder="1" applyAlignment="1" applyProtection="1">
      <alignment vertical="center" wrapText="1"/>
      <protection locked="0"/>
    </xf>
    <xf numFmtId="0" fontId="6" fillId="4" borderId="13" xfId="0" applyFont="1" applyFill="1" applyBorder="1" applyAlignment="1">
      <alignment horizontal="left" vertical="top" wrapText="1"/>
    </xf>
    <xf numFmtId="0" fontId="6" fillId="4" borderId="17" xfId="0" applyFont="1" applyFill="1" applyBorder="1" applyAlignment="1">
      <alignment vertical="top" wrapText="1"/>
    </xf>
    <xf numFmtId="0" fontId="6" fillId="4" borderId="16" xfId="0" applyFont="1" applyFill="1" applyBorder="1" applyAlignment="1">
      <alignment vertical="top" wrapText="1"/>
    </xf>
    <xf numFmtId="0" fontId="6" fillId="4" borderId="17" xfId="0" applyFont="1" applyFill="1" applyBorder="1" applyAlignment="1">
      <alignment vertical="top"/>
    </xf>
    <xf numFmtId="0" fontId="6" fillId="4" borderId="35" xfId="0" applyFont="1" applyFill="1" applyBorder="1" applyAlignment="1">
      <alignment horizontal="left" vertical="top" wrapText="1"/>
    </xf>
    <xf numFmtId="0" fontId="6" fillId="4" borderId="16" xfId="0" applyFont="1" applyFill="1" applyBorder="1" applyAlignment="1">
      <alignment horizontal="left" vertical="top" wrapText="1"/>
    </xf>
    <xf numFmtId="0" fontId="6" fillId="4" borderId="36" xfId="0" applyFont="1" applyFill="1" applyBorder="1" applyAlignment="1">
      <alignment horizontal="left" vertical="top" wrapText="1"/>
    </xf>
    <xf numFmtId="0" fontId="4" fillId="3" borderId="34" xfId="0" applyFont="1" applyFill="1" applyBorder="1" applyAlignment="1">
      <alignment horizontal="left" vertical="top" wrapText="1"/>
    </xf>
    <xf numFmtId="0" fontId="4" fillId="3" borderId="33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32" xfId="0" applyFont="1" applyFill="1" applyBorder="1" applyAlignment="1">
      <alignment horizontal="left" vertical="top" wrapText="1"/>
    </xf>
    <xf numFmtId="0" fontId="4" fillId="3" borderId="30" xfId="0" applyFont="1" applyFill="1" applyBorder="1" applyAlignment="1">
      <alignment horizontal="left" vertical="top" wrapText="1"/>
    </xf>
    <xf numFmtId="0" fontId="4" fillId="3" borderId="31" xfId="0" applyFont="1" applyFill="1" applyBorder="1" applyAlignment="1">
      <alignment horizontal="left" vertical="top" wrapText="1"/>
    </xf>
    <xf numFmtId="0" fontId="4" fillId="3" borderId="18" xfId="0" applyFont="1" applyFill="1" applyBorder="1" applyAlignment="1">
      <alignment horizontal="left" vertical="top" wrapText="1"/>
    </xf>
    <xf numFmtId="0" fontId="4" fillId="3" borderId="32" xfId="0" applyFont="1" applyFill="1" applyBorder="1" applyAlignment="1">
      <alignment horizontal="left" vertical="top"/>
    </xf>
    <xf numFmtId="0" fontId="4" fillId="3" borderId="33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15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0" fontId="6" fillId="4" borderId="15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4" borderId="21" xfId="0" applyFont="1" applyFill="1" applyBorder="1" applyAlignment="1">
      <alignment horizontal="left" vertical="top" wrapText="1"/>
    </xf>
    <xf numFmtId="0" fontId="6" fillId="4" borderId="22" xfId="0" applyFont="1" applyFill="1" applyBorder="1" applyAlignment="1">
      <alignment horizontal="left" vertical="top" wrapText="1"/>
    </xf>
    <xf numFmtId="0" fontId="6" fillId="4" borderId="23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Erfüllung der rechtlichen Anforderungen der DSGVO </a:t>
            </a:r>
          </a:p>
        </c:rich>
      </c:tx>
      <c:layout>
        <c:manualLayout>
          <c:xMode val="edge"/>
          <c:yMode val="edge"/>
          <c:x val="0.28881800866423973"/>
          <c:y val="1.1049723756906077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Erfüllungsgrad!$B$4</c:f>
              <c:strCache>
                <c:ptCount val="1"/>
                <c:pt idx="0">
                  <c:v>Sollwert in %</c:v>
                </c:pt>
              </c:strCache>
            </c:strRef>
          </c:tx>
          <c:spPr>
            <a:ln w="12700">
              <a:solidFill>
                <a:schemeClr val="accent1">
                  <a:lumMod val="50000"/>
                </a:schemeClr>
              </a:solidFill>
              <a:prstDash val="sysDot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Erfüllungsgrad!$A$5:$A$22</c:f>
              <c:strCache>
                <c:ptCount val="18"/>
                <c:pt idx="0">
                  <c:v>Datenschutzmanagement, Strategien zum Datenschutz</c:v>
                </c:pt>
                <c:pt idx="1">
                  <c:v>Melde- und Informationspflicht bei Datenschutzverletzungen</c:v>
                </c:pt>
                <c:pt idx="2">
                  <c:v>Bestellung eines Datenschutzbeauftragten</c:v>
                </c:pt>
                <c:pt idx="3">
                  <c:v>Übersicht über Verarbeitungstätigkeiten</c:v>
                </c:pt>
                <c:pt idx="4">
                  <c:v>Grundsätze der Datenverarbeitung</c:v>
                </c:pt>
                <c:pt idx="5">
                  <c:v>Rechtmäßigkeit der Verarbeitung</c:v>
                </c:pt>
                <c:pt idx="6">
                  <c:v>Rechte der Betroffenen</c:v>
                </c:pt>
                <c:pt idx="7">
                  <c:v>Verarbeitung von besonderen Datenarten</c:v>
                </c:pt>
                <c:pt idx="8">
                  <c:v>Nichtidentifizierbare Personen</c:v>
                </c:pt>
                <c:pt idx="9">
                  <c:v>Information der Betroffenen</c:v>
                </c:pt>
                <c:pt idx="10">
                  <c:v>Automatisierte Einzelentscheidung und Profiling</c:v>
                </c:pt>
                <c:pt idx="11">
                  <c:v>Gemeinsam Verantwortliche und Auftrgsdatenverarbeiter</c:v>
                </c:pt>
                <c:pt idx="12">
                  <c:v>Veararbeitung von Personaldaten</c:v>
                </c:pt>
                <c:pt idx="13">
                  <c:v>Nutzung von Kundendaten für Werbung</c:v>
                </c:pt>
                <c:pt idx="14">
                  <c:v>Einwilligungen</c:v>
                </c:pt>
                <c:pt idx="15">
                  <c:v>Scoring, Bonitätsauskünfte</c:v>
                </c:pt>
                <c:pt idx="16">
                  <c:v>Datenübermittlung in Drittländer</c:v>
                </c:pt>
                <c:pt idx="17">
                  <c:v>Risiko- und Schutzbedarfsermittlung Datenschutzfolgenabschätzung</c:v>
                </c:pt>
              </c:strCache>
            </c:strRef>
          </c:cat>
          <c:val>
            <c:numRef>
              <c:f>Erfüllungsgrad!$B$5:$B$22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2-4D31-8B56-9AA9A2E6C2E1}"/>
            </c:ext>
          </c:extLst>
        </c:ser>
        <c:ser>
          <c:idx val="1"/>
          <c:order val="1"/>
          <c:tx>
            <c:strRef>
              <c:f>Erfüllungsgrad!$C$4</c:f>
              <c:strCache>
                <c:ptCount val="1"/>
                <c:pt idx="0">
                  <c:v>Istwert in %</c:v>
                </c:pt>
              </c:strCache>
            </c:strRef>
          </c:tx>
          <c:spPr>
            <a:ln w="127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  <a:prstDash val="solid"/>
              </a:ln>
            </c:spPr>
          </c:marker>
          <c:cat>
            <c:strRef>
              <c:f>Erfüllungsgrad!$A$5:$A$22</c:f>
              <c:strCache>
                <c:ptCount val="18"/>
                <c:pt idx="0">
                  <c:v>Datenschutzmanagement, Strategien zum Datenschutz</c:v>
                </c:pt>
                <c:pt idx="1">
                  <c:v>Melde- und Informationspflicht bei Datenschutzverletzungen</c:v>
                </c:pt>
                <c:pt idx="2">
                  <c:v>Bestellung eines Datenschutzbeauftragten</c:v>
                </c:pt>
                <c:pt idx="3">
                  <c:v>Übersicht über Verarbeitungstätigkeiten</c:v>
                </c:pt>
                <c:pt idx="4">
                  <c:v>Grundsätze der Datenverarbeitung</c:v>
                </c:pt>
                <c:pt idx="5">
                  <c:v>Rechtmäßigkeit der Verarbeitung</c:v>
                </c:pt>
                <c:pt idx="6">
                  <c:v>Rechte der Betroffenen</c:v>
                </c:pt>
                <c:pt idx="7">
                  <c:v>Verarbeitung von besonderen Datenarten</c:v>
                </c:pt>
                <c:pt idx="8">
                  <c:v>Nichtidentifizierbare Personen</c:v>
                </c:pt>
                <c:pt idx="9">
                  <c:v>Information der Betroffenen</c:v>
                </c:pt>
                <c:pt idx="10">
                  <c:v>Automatisierte Einzelentscheidung und Profiling</c:v>
                </c:pt>
                <c:pt idx="11">
                  <c:v>Gemeinsam Verantwortliche und Auftrgsdatenverarbeiter</c:v>
                </c:pt>
                <c:pt idx="12">
                  <c:v>Veararbeitung von Personaldaten</c:v>
                </c:pt>
                <c:pt idx="13">
                  <c:v>Nutzung von Kundendaten für Werbung</c:v>
                </c:pt>
                <c:pt idx="14">
                  <c:v>Einwilligungen</c:v>
                </c:pt>
                <c:pt idx="15">
                  <c:v>Scoring, Bonitätsauskünfte</c:v>
                </c:pt>
                <c:pt idx="16">
                  <c:v>Datenübermittlung in Drittländer</c:v>
                </c:pt>
                <c:pt idx="17">
                  <c:v>Risiko- und Schutzbedarfsermittlung Datenschutzfolgenabschätzung</c:v>
                </c:pt>
              </c:strCache>
            </c:strRef>
          </c:cat>
          <c:val>
            <c:numRef>
              <c:f>Erfüllungsgrad!$C$5:$C$22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2-4D31-8B56-9AA9A2E6C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390936"/>
        <c:axId val="557391328"/>
      </c:radarChart>
      <c:catAx>
        <c:axId val="557390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kern="1500" baseline="0"/>
            </a:pPr>
            <a:endParaRPr lang="de-DE"/>
          </a:p>
        </c:txPr>
        <c:crossAx val="557391328"/>
        <c:crosses val="autoZero"/>
        <c:auto val="0"/>
        <c:lblAlgn val="ctr"/>
        <c:lblOffset val="100"/>
        <c:noMultiLvlLbl val="0"/>
      </c:catAx>
      <c:valAx>
        <c:axId val="557391328"/>
        <c:scaling>
          <c:orientation val="minMax"/>
        </c:scaling>
        <c:delete val="0"/>
        <c:axPos val="l"/>
        <c:majorGridlines>
          <c:spPr>
            <a:ln w="3175">
              <a:solidFill>
                <a:schemeClr val="accent1">
                  <a:lumMod val="40000"/>
                  <a:lumOff val="60000"/>
                </a:schemeClr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5573909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398632863199783"/>
          <c:y val="0.91818442668299216"/>
          <c:w val="0.11421395579862052"/>
          <c:h val="5.8745957860239846E-2"/>
        </c:manualLayout>
      </c:layout>
      <c:overlay val="0"/>
      <c:spPr>
        <a:pattFill prst="lgGrid">
          <a:fgClr>
            <a:srgbClr val="FFFFFF"/>
          </a:fgClr>
          <a:bgClr>
            <a:schemeClr val="accent1">
              <a:lumMod val="20000"/>
              <a:lumOff val="80000"/>
            </a:schemeClr>
          </a:bgClr>
        </a:pattFill>
        <a:ln w="3175">
          <a:solidFill>
            <a:schemeClr val="accent1">
              <a:lumMod val="50000"/>
            </a:schemeClr>
          </a:solidFill>
          <a:prstDash val="solid"/>
        </a:ln>
      </c:spPr>
    </c:legend>
    <c:plotVisOnly val="1"/>
    <c:dispBlanksAs val="gap"/>
    <c:showDLblsOverMax val="0"/>
  </c:chart>
  <c:spPr>
    <a:gradFill>
      <a:gsLst>
        <a:gs pos="0">
          <a:srgbClr val="D3DEF1"/>
        </a:gs>
        <a:gs pos="0">
          <a:schemeClr val="accent1">
            <a:lumMod val="2000"/>
            <a:lumOff val="98000"/>
          </a:schemeClr>
        </a:gs>
        <a:gs pos="97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175">
      <a:noFill/>
      <a:prstDash val="solid"/>
    </a:ln>
  </c:spPr>
  <c:txPr>
    <a:bodyPr/>
    <a:lstStyle/>
    <a:p>
      <a:pPr>
        <a:defRPr sz="900" b="0" i="0" u="none" strike="noStrike" baseline="0">
          <a:solidFill>
            <a:schemeClr val="accent1">
              <a:lumMod val="50000"/>
            </a:schemeClr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850393704" l="0.78740157480314965" r="0.78740157480314965" t="0.98425196850393704" header="0.51181102362204722" footer="0.51181102362204722"/>
    <c:pageSetup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19</xdr:row>
      <xdr:rowOff>152400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53B2D7EF-B6B2-4AE8-AFD2-B24386C1D2F4}"/>
            </a:ext>
          </a:extLst>
        </xdr:cNvPr>
        <xdr:cNvSpPr txBox="1"/>
      </xdr:nvSpPr>
      <xdr:spPr>
        <a:xfrm>
          <a:off x="819150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</xdr:row>
      <xdr:rowOff>47625</xdr:rowOff>
    </xdr:from>
    <xdr:to>
      <xdr:col>13</xdr:col>
      <xdr:colOff>266700</xdr:colOff>
      <xdr:row>43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"/>
  <sheetViews>
    <sheetView showGridLines="0" tabSelected="1" view="pageLayout" zoomScaleNormal="150" workbookViewId="0">
      <selection activeCell="F4" sqref="F4"/>
    </sheetView>
  </sheetViews>
  <sheetFormatPr baseColWidth="10" defaultColWidth="23.88671875" defaultRowHeight="11.4" x14ac:dyDescent="0.2"/>
  <cols>
    <col min="1" max="1" width="16.44140625" style="10" customWidth="1"/>
    <col min="2" max="2" width="16.109375" style="10" customWidth="1"/>
    <col min="3" max="3" width="40.109375" style="10" customWidth="1"/>
    <col min="4" max="5" width="13" style="19" customWidth="1"/>
    <col min="6" max="6" width="17.88671875" style="10" customWidth="1"/>
    <col min="7" max="8" width="7" style="19" customWidth="1"/>
    <col min="9" max="16384" width="23.88671875" style="10"/>
  </cols>
  <sheetData>
    <row r="1" spans="1:8" ht="17.399999999999999" x14ac:dyDescent="0.3">
      <c r="A1" s="7" t="s">
        <v>228</v>
      </c>
      <c r="B1" s="8"/>
      <c r="C1" s="8"/>
      <c r="D1" s="9"/>
      <c r="E1" s="9"/>
      <c r="F1" s="8"/>
      <c r="G1" s="9"/>
      <c r="H1" s="9"/>
    </row>
    <row r="2" spans="1:8" x14ac:dyDescent="0.2">
      <c r="B2" s="8"/>
      <c r="C2" s="8"/>
      <c r="D2" s="9"/>
      <c r="E2" s="9"/>
      <c r="F2" s="8"/>
      <c r="G2" s="9"/>
      <c r="H2" s="9"/>
    </row>
    <row r="3" spans="1:8" x14ac:dyDescent="0.2">
      <c r="A3" s="14" t="s">
        <v>233</v>
      </c>
      <c r="B3" s="8"/>
      <c r="C3" s="8"/>
      <c r="D3" s="9"/>
      <c r="E3" s="9"/>
      <c r="F3" s="8"/>
      <c r="G3" s="9"/>
      <c r="H3" s="9"/>
    </row>
    <row r="4" spans="1:8" x14ac:dyDescent="0.2">
      <c r="A4" s="14" t="s">
        <v>232</v>
      </c>
      <c r="B4" s="8"/>
      <c r="C4" s="8"/>
      <c r="D4" s="9"/>
      <c r="E4" s="9"/>
      <c r="F4" s="8"/>
      <c r="G4" s="9"/>
      <c r="H4" s="9"/>
    </row>
    <row r="5" spans="1:8" x14ac:dyDescent="0.2">
      <c r="A5" s="14" t="s">
        <v>235</v>
      </c>
      <c r="B5" s="8"/>
      <c r="C5" s="8"/>
      <c r="D5" s="9"/>
      <c r="E5" s="9"/>
      <c r="F5" s="8"/>
      <c r="G5" s="9"/>
      <c r="H5" s="9"/>
    </row>
    <row r="6" spans="1:8" x14ac:dyDescent="0.2">
      <c r="A6" s="14" t="s">
        <v>234</v>
      </c>
      <c r="D6" s="10"/>
      <c r="E6" s="10"/>
      <c r="G6" s="10"/>
      <c r="H6" s="10"/>
    </row>
    <row r="7" spans="1:8" x14ac:dyDescent="0.2">
      <c r="A7" s="14" t="s">
        <v>231</v>
      </c>
      <c r="B7" s="8"/>
      <c r="C7" s="8"/>
      <c r="D7" s="9"/>
      <c r="E7" s="9"/>
      <c r="F7" s="8"/>
      <c r="G7" s="9"/>
      <c r="H7" s="9"/>
    </row>
    <row r="8" spans="1:8" x14ac:dyDescent="0.2">
      <c r="A8" s="14"/>
      <c r="B8" s="8"/>
      <c r="C8" s="8"/>
      <c r="D8" s="9"/>
      <c r="E8" s="9"/>
      <c r="F8" s="8"/>
      <c r="G8" s="9"/>
      <c r="H8" s="9"/>
    </row>
    <row r="9" spans="1:8" x14ac:dyDescent="0.2">
      <c r="A9" s="14" t="s">
        <v>236</v>
      </c>
      <c r="B9" s="8"/>
      <c r="C9" s="8"/>
      <c r="D9" s="9"/>
      <c r="E9" s="9"/>
      <c r="F9" s="8"/>
      <c r="G9" s="9"/>
      <c r="H9" s="9"/>
    </row>
    <row r="10" spans="1:8" x14ac:dyDescent="0.2">
      <c r="A10" s="14" t="s">
        <v>237</v>
      </c>
      <c r="B10" s="8"/>
      <c r="C10" s="8"/>
      <c r="D10" s="9"/>
      <c r="E10" s="9"/>
      <c r="F10" s="8"/>
      <c r="G10" s="9"/>
      <c r="H10" s="9"/>
    </row>
    <row r="11" spans="1:8" x14ac:dyDescent="0.2">
      <c r="A11" s="14" t="s">
        <v>239</v>
      </c>
      <c r="B11" s="8"/>
      <c r="C11" s="8"/>
      <c r="D11" s="9"/>
      <c r="E11" s="9"/>
      <c r="F11" s="8"/>
      <c r="G11" s="9"/>
      <c r="H11" s="9"/>
    </row>
    <row r="12" spans="1:8" x14ac:dyDescent="0.2">
      <c r="A12" s="14" t="s">
        <v>238</v>
      </c>
      <c r="B12" s="8"/>
      <c r="C12" s="8"/>
      <c r="D12" s="9"/>
      <c r="E12" s="9"/>
      <c r="F12" s="8"/>
      <c r="G12" s="9"/>
      <c r="H12" s="9"/>
    </row>
    <row r="13" spans="1:8" x14ac:dyDescent="0.2">
      <c r="A13" s="14" t="s">
        <v>240</v>
      </c>
      <c r="B13" s="8"/>
      <c r="C13" s="8"/>
      <c r="D13" s="9"/>
      <c r="E13" s="9"/>
      <c r="F13" s="8"/>
      <c r="G13" s="9"/>
      <c r="H13" s="9"/>
    </row>
    <row r="14" spans="1:8" x14ac:dyDescent="0.2">
      <c r="A14" s="14" t="s">
        <v>241</v>
      </c>
      <c r="B14" s="8"/>
      <c r="C14" s="8"/>
      <c r="D14" s="9"/>
      <c r="E14" s="9"/>
      <c r="F14" s="8"/>
      <c r="G14" s="9"/>
      <c r="H14" s="9"/>
    </row>
    <row r="15" spans="1:8" x14ac:dyDescent="0.2">
      <c r="A15" s="14" t="s">
        <v>242</v>
      </c>
      <c r="B15" s="8"/>
      <c r="C15" s="8"/>
      <c r="D15" s="9"/>
      <c r="E15" s="9"/>
      <c r="F15" s="8"/>
      <c r="G15" s="9"/>
      <c r="H15" s="9"/>
    </row>
    <row r="16" spans="1:8" x14ac:dyDescent="0.2">
      <c r="A16" s="14" t="s">
        <v>243</v>
      </c>
      <c r="B16" s="8"/>
      <c r="C16" s="8"/>
      <c r="D16" s="9"/>
      <c r="E16" s="9"/>
      <c r="F16" s="8"/>
      <c r="G16" s="9"/>
      <c r="H16" s="9"/>
    </row>
    <row r="17" spans="1:8" x14ac:dyDescent="0.2">
      <c r="A17" s="14"/>
      <c r="B17" s="8"/>
      <c r="C17" s="8"/>
      <c r="D17" s="9"/>
      <c r="E17" s="9"/>
      <c r="F17" s="8"/>
      <c r="G17" s="9"/>
      <c r="H17" s="9"/>
    </row>
    <row r="18" spans="1:8" x14ac:dyDescent="0.2">
      <c r="A18" s="14" t="s">
        <v>244</v>
      </c>
      <c r="B18" s="8"/>
      <c r="C18" s="8"/>
      <c r="D18" s="9"/>
      <c r="E18" s="9"/>
      <c r="F18" s="8"/>
      <c r="G18" s="9"/>
      <c r="H18" s="9"/>
    </row>
    <row r="19" spans="1:8" x14ac:dyDescent="0.2">
      <c r="A19" s="14" t="s">
        <v>245</v>
      </c>
      <c r="B19" s="8"/>
      <c r="C19" s="8"/>
      <c r="D19" s="9"/>
      <c r="E19" s="9"/>
      <c r="F19" s="8"/>
      <c r="G19" s="9"/>
      <c r="H19" s="9"/>
    </row>
    <row r="20" spans="1:8" x14ac:dyDescent="0.2">
      <c r="A20" s="14" t="s">
        <v>246</v>
      </c>
      <c r="B20" s="8"/>
      <c r="C20" s="8"/>
      <c r="D20" s="9"/>
      <c r="E20" s="9"/>
      <c r="F20" s="8"/>
      <c r="G20" s="9"/>
      <c r="H20" s="9"/>
    </row>
    <row r="21" spans="1:8" x14ac:dyDescent="0.2">
      <c r="A21" s="14"/>
      <c r="B21" s="8"/>
      <c r="C21" s="8"/>
      <c r="D21" s="9"/>
      <c r="E21" s="9"/>
      <c r="F21" s="8"/>
      <c r="G21" s="9"/>
      <c r="H21" s="9"/>
    </row>
    <row r="22" spans="1:8" ht="12" x14ac:dyDescent="0.25">
      <c r="A22" s="11" t="s">
        <v>174</v>
      </c>
      <c r="B22" s="8"/>
      <c r="C22" s="8"/>
      <c r="D22" s="9"/>
      <c r="E22" s="9"/>
      <c r="F22" s="8"/>
      <c r="G22" s="9"/>
      <c r="H22" s="9"/>
    </row>
    <row r="23" spans="1:8" ht="12" x14ac:dyDescent="0.25">
      <c r="A23" s="11"/>
      <c r="B23" s="8"/>
      <c r="C23" s="8"/>
      <c r="D23" s="9"/>
      <c r="E23" s="9"/>
      <c r="F23" s="8"/>
      <c r="G23" s="9"/>
      <c r="H23" s="9"/>
    </row>
    <row r="24" spans="1:8" ht="12" x14ac:dyDescent="0.25">
      <c r="A24" s="11" t="s">
        <v>229</v>
      </c>
      <c r="B24" s="8"/>
      <c r="C24" s="8"/>
      <c r="D24" s="9"/>
      <c r="E24" s="9"/>
      <c r="F24" s="8"/>
      <c r="G24" s="9"/>
      <c r="H24" s="9"/>
    </row>
    <row r="25" spans="1:8" x14ac:dyDescent="0.2">
      <c r="A25" s="17" t="s">
        <v>175</v>
      </c>
      <c r="B25" s="8"/>
      <c r="C25" s="8"/>
      <c r="D25" s="9"/>
      <c r="E25" s="9"/>
      <c r="F25" s="8"/>
      <c r="G25" s="9"/>
      <c r="H25" s="9"/>
    </row>
    <row r="26" spans="1:8" x14ac:dyDescent="0.2">
      <c r="A26" s="17" t="s">
        <v>176</v>
      </c>
      <c r="B26" s="8"/>
      <c r="C26" s="8"/>
      <c r="D26" s="9"/>
      <c r="E26" s="9"/>
      <c r="F26" s="8"/>
      <c r="G26" s="9"/>
      <c r="H26" s="9"/>
    </row>
    <row r="27" spans="1:8" s="14" customFormat="1" x14ac:dyDescent="0.2">
      <c r="A27" s="8"/>
      <c r="C27" s="15"/>
      <c r="D27" s="16"/>
      <c r="E27" s="16"/>
      <c r="F27" s="15"/>
      <c r="G27" s="16"/>
      <c r="H27" s="16"/>
    </row>
    <row r="28" spans="1:8" s="14" customFormat="1" ht="12" x14ac:dyDescent="0.2">
      <c r="A28" s="13" t="s">
        <v>230</v>
      </c>
      <c r="C28" s="15"/>
      <c r="D28" s="16"/>
      <c r="E28" s="16"/>
      <c r="F28" s="15"/>
      <c r="G28" s="16"/>
      <c r="H28" s="16"/>
    </row>
    <row r="29" spans="1:8" x14ac:dyDescent="0.2">
      <c r="A29" s="15" t="s">
        <v>177</v>
      </c>
      <c r="C29" s="8"/>
      <c r="D29" s="10"/>
      <c r="E29" s="9"/>
      <c r="F29" s="8"/>
      <c r="G29" s="9"/>
      <c r="H29" s="9"/>
    </row>
    <row r="30" spans="1:8" x14ac:dyDescent="0.2">
      <c r="A30" s="15" t="s">
        <v>178</v>
      </c>
      <c r="C30" s="8"/>
      <c r="D30" s="10"/>
      <c r="E30" s="9"/>
      <c r="F30" s="8"/>
      <c r="G30" s="9"/>
      <c r="H30" s="9"/>
    </row>
    <row r="31" spans="1:8" x14ac:dyDescent="0.2">
      <c r="A31" s="15" t="s">
        <v>179</v>
      </c>
      <c r="C31" s="8"/>
      <c r="D31" s="10"/>
      <c r="E31" s="9"/>
      <c r="F31" s="8"/>
      <c r="G31" s="9"/>
      <c r="H31" s="9"/>
    </row>
    <row r="32" spans="1:8" x14ac:dyDescent="0.2">
      <c r="A32" s="15" t="s">
        <v>180</v>
      </c>
      <c r="C32" s="18"/>
      <c r="D32" s="10"/>
      <c r="E32" s="9"/>
      <c r="F32" s="8"/>
      <c r="G32" s="9"/>
      <c r="H32" s="9"/>
    </row>
    <row r="33" spans="1:8" x14ac:dyDescent="0.2">
      <c r="A33" s="15" t="s">
        <v>181</v>
      </c>
      <c r="C33" s="8"/>
      <c r="D33" s="10"/>
      <c r="E33" s="9"/>
      <c r="F33" s="8"/>
      <c r="G33" s="9"/>
      <c r="H33" s="9"/>
    </row>
    <row r="34" spans="1:8" x14ac:dyDescent="0.2">
      <c r="A34" s="8"/>
      <c r="B34" s="15"/>
      <c r="C34" s="8"/>
      <c r="D34" s="9"/>
      <c r="E34" s="9"/>
      <c r="F34" s="8"/>
      <c r="G34" s="9"/>
      <c r="H34" s="9"/>
    </row>
    <row r="35" spans="1:8" s="14" customFormat="1" x14ac:dyDescent="0.2">
      <c r="A35" s="15" t="s">
        <v>248</v>
      </c>
      <c r="B35" s="15"/>
      <c r="C35" s="15"/>
      <c r="D35" s="16"/>
      <c r="E35" s="16"/>
      <c r="F35" s="15"/>
      <c r="G35" s="16"/>
      <c r="H35" s="16"/>
    </row>
    <row r="36" spans="1:8" s="14" customFormat="1" x14ac:dyDescent="0.2">
      <c r="A36" s="15" t="s">
        <v>247</v>
      </c>
      <c r="B36" s="15"/>
      <c r="C36" s="15"/>
      <c r="D36" s="16"/>
      <c r="E36" s="16"/>
      <c r="F36" s="15"/>
      <c r="G36" s="16"/>
      <c r="H36" s="16"/>
    </row>
    <row r="37" spans="1:8" ht="12" thickBot="1" x14ac:dyDescent="0.25"/>
    <row r="38" spans="1:8" s="11" customFormat="1" ht="24.6" thickTop="1" thickBot="1" x14ac:dyDescent="0.3">
      <c r="A38" s="57" t="s">
        <v>184</v>
      </c>
      <c r="B38" s="49" t="s">
        <v>185</v>
      </c>
      <c r="C38" s="49" t="s">
        <v>186</v>
      </c>
      <c r="D38" s="50" t="s">
        <v>182</v>
      </c>
      <c r="E38" s="50" t="s">
        <v>125</v>
      </c>
      <c r="F38" s="49" t="s">
        <v>0</v>
      </c>
      <c r="G38" s="51" t="s">
        <v>1</v>
      </c>
      <c r="H38" s="52" t="s">
        <v>2</v>
      </c>
    </row>
    <row r="39" spans="1:8" ht="34.799999999999997" thickTop="1" x14ac:dyDescent="0.2">
      <c r="A39" s="105" t="s">
        <v>131</v>
      </c>
      <c r="B39" s="91" t="s">
        <v>95</v>
      </c>
      <c r="C39" s="45" t="s">
        <v>96</v>
      </c>
      <c r="D39" s="46"/>
      <c r="E39" s="46"/>
      <c r="F39" s="47"/>
      <c r="G39" s="46">
        <f>D39*E39</f>
        <v>0</v>
      </c>
      <c r="H39" s="48">
        <f>D39*4</f>
        <v>0</v>
      </c>
    </row>
    <row r="40" spans="1:8" ht="36.75" customHeight="1" x14ac:dyDescent="0.2">
      <c r="A40" s="106"/>
      <c r="B40" s="92"/>
      <c r="C40" s="23" t="s">
        <v>183</v>
      </c>
      <c r="D40" s="24"/>
      <c r="E40" s="24"/>
      <c r="F40" s="25"/>
      <c r="G40" s="24">
        <f t="shared" ref="G40:G60" si="0">D40*E40</f>
        <v>0</v>
      </c>
      <c r="H40" s="26">
        <f>D40*4</f>
        <v>0</v>
      </c>
    </row>
    <row r="41" spans="1:8" ht="36.75" customHeight="1" x14ac:dyDescent="0.2">
      <c r="A41" s="106"/>
      <c r="B41" s="93"/>
      <c r="C41" s="23" t="s">
        <v>146</v>
      </c>
      <c r="D41" s="24"/>
      <c r="E41" s="24"/>
      <c r="F41" s="25"/>
      <c r="G41" s="24">
        <f t="shared" si="0"/>
        <v>0</v>
      </c>
      <c r="H41" s="26">
        <f t="shared" ref="H41:H51" si="1">D41*4</f>
        <v>0</v>
      </c>
    </row>
    <row r="42" spans="1:8" ht="34.799999999999997" thickBot="1" x14ac:dyDescent="0.25">
      <c r="A42" s="107"/>
      <c r="B42" s="56" t="s">
        <v>97</v>
      </c>
      <c r="C42" s="23" t="s">
        <v>143</v>
      </c>
      <c r="D42" s="24"/>
      <c r="E42" s="24"/>
      <c r="F42" s="25"/>
      <c r="G42" s="24">
        <f t="shared" si="0"/>
        <v>0</v>
      </c>
      <c r="H42" s="26">
        <f t="shared" si="1"/>
        <v>0</v>
      </c>
    </row>
    <row r="43" spans="1:8" ht="12.6" thickTop="1" thickBot="1" x14ac:dyDescent="0.25">
      <c r="A43" s="80" t="s">
        <v>101</v>
      </c>
      <c r="B43" s="53"/>
      <c r="C43" s="27"/>
      <c r="D43" s="28"/>
      <c r="E43" s="28"/>
      <c r="F43" s="29"/>
      <c r="G43" s="28">
        <f>SUM(G39:G42)</f>
        <v>0</v>
      </c>
      <c r="H43" s="30">
        <f>SUM(H39:H42)</f>
        <v>0</v>
      </c>
    </row>
    <row r="44" spans="1:8" ht="34.799999999999997" thickTop="1" x14ac:dyDescent="0.2">
      <c r="A44" s="98" t="s">
        <v>187</v>
      </c>
      <c r="B44" s="90"/>
      <c r="C44" s="31" t="s">
        <v>3</v>
      </c>
      <c r="D44" s="32"/>
      <c r="E44" s="32"/>
      <c r="F44" s="33"/>
      <c r="G44" s="20">
        <f t="shared" si="0"/>
        <v>0</v>
      </c>
      <c r="H44" s="22">
        <f>D44*4</f>
        <v>0</v>
      </c>
    </row>
    <row r="45" spans="1:8" ht="22.8" x14ac:dyDescent="0.2">
      <c r="A45" s="103"/>
      <c r="B45" s="88"/>
      <c r="C45" s="34" t="s">
        <v>4</v>
      </c>
      <c r="D45" s="35"/>
      <c r="E45" s="35"/>
      <c r="F45" s="36"/>
      <c r="G45" s="24">
        <f t="shared" si="0"/>
        <v>0</v>
      </c>
      <c r="H45" s="26">
        <f t="shared" si="1"/>
        <v>0</v>
      </c>
    </row>
    <row r="46" spans="1:8" ht="35.25" customHeight="1" x14ac:dyDescent="0.2">
      <c r="A46" s="103"/>
      <c r="B46" s="88"/>
      <c r="C46" s="34" t="s">
        <v>188</v>
      </c>
      <c r="D46" s="35"/>
      <c r="E46" s="35"/>
      <c r="F46" s="36"/>
      <c r="G46" s="24">
        <f t="shared" si="0"/>
        <v>0</v>
      </c>
      <c r="H46" s="26">
        <f t="shared" si="1"/>
        <v>0</v>
      </c>
    </row>
    <row r="47" spans="1:8" ht="22.8" x14ac:dyDescent="0.2">
      <c r="A47" s="103"/>
      <c r="B47" s="88"/>
      <c r="C47" s="34" t="s">
        <v>5</v>
      </c>
      <c r="D47" s="35"/>
      <c r="E47" s="35"/>
      <c r="F47" s="36"/>
      <c r="G47" s="24">
        <f t="shared" si="0"/>
        <v>0</v>
      </c>
      <c r="H47" s="26">
        <f t="shared" si="1"/>
        <v>0</v>
      </c>
    </row>
    <row r="48" spans="1:8" ht="34.200000000000003" x14ac:dyDescent="0.2">
      <c r="A48" s="103"/>
      <c r="B48" s="88"/>
      <c r="C48" s="34" t="s">
        <v>47</v>
      </c>
      <c r="D48" s="35"/>
      <c r="E48" s="35"/>
      <c r="F48" s="36"/>
      <c r="G48" s="24">
        <f t="shared" si="0"/>
        <v>0</v>
      </c>
      <c r="H48" s="26">
        <f t="shared" si="1"/>
        <v>0</v>
      </c>
    </row>
    <row r="49" spans="1:8" ht="22.8" x14ac:dyDescent="0.2">
      <c r="A49" s="103"/>
      <c r="B49" s="88"/>
      <c r="C49" s="34" t="s">
        <v>120</v>
      </c>
      <c r="D49" s="35"/>
      <c r="E49" s="35"/>
      <c r="F49" s="36"/>
      <c r="G49" s="24">
        <f t="shared" si="0"/>
        <v>0</v>
      </c>
      <c r="H49" s="26">
        <f t="shared" si="1"/>
        <v>0</v>
      </c>
    </row>
    <row r="50" spans="1:8" ht="22.8" x14ac:dyDescent="0.2">
      <c r="A50" s="103"/>
      <c r="B50" s="88"/>
      <c r="C50" s="34" t="s">
        <v>189</v>
      </c>
      <c r="D50" s="35"/>
      <c r="E50" s="35"/>
      <c r="F50" s="36"/>
      <c r="G50" s="24">
        <f t="shared" si="0"/>
        <v>0</v>
      </c>
      <c r="H50" s="26">
        <f t="shared" si="1"/>
        <v>0</v>
      </c>
    </row>
    <row r="51" spans="1:8" ht="45.6" x14ac:dyDescent="0.2">
      <c r="A51" s="99"/>
      <c r="B51" s="89"/>
      <c r="C51" s="36" t="s">
        <v>190</v>
      </c>
      <c r="D51" s="35"/>
      <c r="E51" s="35"/>
      <c r="F51" s="36"/>
      <c r="G51" s="24">
        <f t="shared" si="0"/>
        <v>0</v>
      </c>
      <c r="H51" s="26">
        <f t="shared" si="1"/>
        <v>0</v>
      </c>
    </row>
    <row r="52" spans="1:8" ht="12" thickBot="1" x14ac:dyDescent="0.25">
      <c r="A52" s="81" t="s">
        <v>101</v>
      </c>
      <c r="B52" s="54"/>
      <c r="C52" s="38"/>
      <c r="D52" s="39"/>
      <c r="E52" s="39"/>
      <c r="F52" s="38"/>
      <c r="G52" s="40">
        <f>SUM(G44:G51)</f>
        <v>0</v>
      </c>
      <c r="H52" s="30">
        <f>SUM(H44:H51)</f>
        <v>0</v>
      </c>
    </row>
    <row r="53" spans="1:8" ht="24" customHeight="1" thickTop="1" x14ac:dyDescent="0.2">
      <c r="A53" s="98" t="s">
        <v>98</v>
      </c>
      <c r="B53" s="94" t="s">
        <v>7</v>
      </c>
      <c r="C53" s="31" t="s">
        <v>148</v>
      </c>
      <c r="D53" s="41"/>
      <c r="E53" s="41"/>
      <c r="F53" s="21"/>
      <c r="G53" s="20">
        <f t="shared" si="0"/>
        <v>0</v>
      </c>
      <c r="H53" s="22">
        <f>D53*4</f>
        <v>0</v>
      </c>
    </row>
    <row r="54" spans="1:8" x14ac:dyDescent="0.2">
      <c r="A54" s="103"/>
      <c r="B54" s="95"/>
      <c r="C54" s="34" t="s">
        <v>149</v>
      </c>
      <c r="D54" s="42"/>
      <c r="E54" s="42"/>
      <c r="F54" s="25"/>
      <c r="G54" s="24">
        <f t="shared" si="0"/>
        <v>0</v>
      </c>
      <c r="H54" s="26">
        <f t="shared" ref="H54:H60" si="2">D54*4</f>
        <v>0</v>
      </c>
    </row>
    <row r="55" spans="1:8" ht="34.200000000000003" x14ac:dyDescent="0.2">
      <c r="A55" s="103"/>
      <c r="B55" s="95"/>
      <c r="C55" s="34" t="s">
        <v>147</v>
      </c>
      <c r="D55" s="42"/>
      <c r="E55" s="42"/>
      <c r="F55" s="25"/>
      <c r="G55" s="24">
        <f t="shared" si="0"/>
        <v>0</v>
      </c>
      <c r="H55" s="26">
        <f t="shared" si="2"/>
        <v>0</v>
      </c>
    </row>
    <row r="56" spans="1:8" ht="34.200000000000003" x14ac:dyDescent="0.2">
      <c r="A56" s="103"/>
      <c r="B56" s="95"/>
      <c r="C56" s="34" t="s">
        <v>8</v>
      </c>
      <c r="D56" s="42"/>
      <c r="E56" s="42"/>
      <c r="F56" s="25"/>
      <c r="G56" s="24">
        <f t="shared" si="0"/>
        <v>0</v>
      </c>
      <c r="H56" s="26">
        <f t="shared" si="2"/>
        <v>0</v>
      </c>
    </row>
    <row r="57" spans="1:8" ht="22.8" x14ac:dyDescent="0.2">
      <c r="A57" s="103"/>
      <c r="B57" s="95"/>
      <c r="C57" s="34" t="s">
        <v>9</v>
      </c>
      <c r="D57" s="42"/>
      <c r="E57" s="42"/>
      <c r="F57" s="25"/>
      <c r="G57" s="24">
        <f t="shared" si="0"/>
        <v>0</v>
      </c>
      <c r="H57" s="26">
        <f t="shared" si="2"/>
        <v>0</v>
      </c>
    </row>
    <row r="58" spans="1:8" ht="22.8" x14ac:dyDescent="0.2">
      <c r="A58" s="103"/>
      <c r="B58" s="95"/>
      <c r="C58" s="34" t="s">
        <v>10</v>
      </c>
      <c r="D58" s="42"/>
      <c r="E58" s="42"/>
      <c r="F58" s="25"/>
      <c r="G58" s="24">
        <f t="shared" si="0"/>
        <v>0</v>
      </c>
      <c r="H58" s="26">
        <f t="shared" si="2"/>
        <v>0</v>
      </c>
    </row>
    <row r="59" spans="1:8" ht="22.8" x14ac:dyDescent="0.2">
      <c r="A59" s="103"/>
      <c r="B59" s="95"/>
      <c r="C59" s="34" t="s">
        <v>191</v>
      </c>
      <c r="D59" s="42"/>
      <c r="E59" s="42"/>
      <c r="F59" s="25"/>
      <c r="G59" s="24">
        <f t="shared" si="0"/>
        <v>0</v>
      </c>
      <c r="H59" s="26">
        <f t="shared" si="2"/>
        <v>0</v>
      </c>
    </row>
    <row r="60" spans="1:8" ht="22.8" x14ac:dyDescent="0.2">
      <c r="A60" s="99"/>
      <c r="B60" s="96"/>
      <c r="C60" s="34" t="s">
        <v>192</v>
      </c>
      <c r="D60" s="42"/>
      <c r="E60" s="42"/>
      <c r="F60" s="25"/>
      <c r="G60" s="24">
        <f t="shared" si="0"/>
        <v>0</v>
      </c>
      <c r="H60" s="26">
        <f t="shared" si="2"/>
        <v>0</v>
      </c>
    </row>
    <row r="61" spans="1:8" ht="12" thickBot="1" x14ac:dyDescent="0.25">
      <c r="A61" s="81" t="s">
        <v>101</v>
      </c>
      <c r="B61" s="55"/>
      <c r="C61" s="37"/>
      <c r="D61" s="40"/>
      <c r="E61" s="40"/>
      <c r="F61" s="29"/>
      <c r="G61" s="40">
        <f>SUM(G53:G60)</f>
        <v>0</v>
      </c>
      <c r="H61" s="30">
        <f>SUM(H53:H60)</f>
        <v>0</v>
      </c>
    </row>
    <row r="62" spans="1:8" ht="34.799999999999997" thickTop="1" x14ac:dyDescent="0.2">
      <c r="A62" s="98" t="s">
        <v>193</v>
      </c>
      <c r="B62" s="90"/>
      <c r="C62" s="31" t="s">
        <v>194</v>
      </c>
      <c r="D62" s="20"/>
      <c r="E62" s="20"/>
      <c r="F62" s="31"/>
      <c r="G62" s="20">
        <f>D62*E62</f>
        <v>0</v>
      </c>
      <c r="H62" s="22">
        <f>D62*4</f>
        <v>0</v>
      </c>
    </row>
    <row r="63" spans="1:8" ht="34.200000000000003" x14ac:dyDescent="0.2">
      <c r="A63" s="103"/>
      <c r="B63" s="88"/>
      <c r="C63" s="34" t="s">
        <v>11</v>
      </c>
      <c r="D63" s="24"/>
      <c r="E63" s="24"/>
      <c r="F63" s="34"/>
      <c r="G63" s="24">
        <f>D63*E63</f>
        <v>0</v>
      </c>
      <c r="H63" s="26">
        <f>D63*4</f>
        <v>0</v>
      </c>
    </row>
    <row r="64" spans="1:8" ht="24.75" customHeight="1" x14ac:dyDescent="0.2">
      <c r="A64" s="103"/>
      <c r="B64" s="88"/>
      <c r="C64" s="34" t="s">
        <v>12</v>
      </c>
      <c r="D64" s="24"/>
      <c r="E64" s="24"/>
      <c r="F64" s="34"/>
      <c r="G64" s="24">
        <f>D64*E64</f>
        <v>0</v>
      </c>
      <c r="H64" s="26">
        <f>D64*4</f>
        <v>0</v>
      </c>
    </row>
    <row r="65" spans="1:8" ht="36.75" customHeight="1" x14ac:dyDescent="0.2">
      <c r="A65" s="103"/>
      <c r="B65" s="88"/>
      <c r="C65" s="34" t="s">
        <v>13</v>
      </c>
      <c r="D65" s="24"/>
      <c r="E65" s="24"/>
      <c r="F65" s="34"/>
      <c r="G65" s="24">
        <f>D65*E65</f>
        <v>0</v>
      </c>
      <c r="H65" s="26">
        <f>D65*4</f>
        <v>0</v>
      </c>
    </row>
    <row r="66" spans="1:8" ht="24.75" customHeight="1" x14ac:dyDescent="0.2">
      <c r="A66" s="99"/>
      <c r="B66" s="89"/>
      <c r="C66" s="34" t="s">
        <v>195</v>
      </c>
      <c r="D66" s="24"/>
      <c r="E66" s="24"/>
      <c r="F66" s="34"/>
      <c r="G66" s="24">
        <f>D66*E66</f>
        <v>0</v>
      </c>
      <c r="H66" s="26">
        <f>D66*4</f>
        <v>0</v>
      </c>
    </row>
    <row r="67" spans="1:8" ht="12" thickBot="1" x14ac:dyDescent="0.25">
      <c r="A67" s="81" t="s">
        <v>101</v>
      </c>
      <c r="B67" s="54"/>
      <c r="C67" s="37"/>
      <c r="D67" s="28"/>
      <c r="E67" s="28"/>
      <c r="F67" s="37"/>
      <c r="G67" s="40">
        <f>SUM(G62:G66)</f>
        <v>0</v>
      </c>
      <c r="H67" s="30">
        <f>SUM(H62:H66)</f>
        <v>0</v>
      </c>
    </row>
    <row r="68" spans="1:8" ht="34.799999999999997" thickTop="1" x14ac:dyDescent="0.2">
      <c r="A68" s="98" t="s">
        <v>99</v>
      </c>
      <c r="B68" s="90" t="s">
        <v>14</v>
      </c>
      <c r="C68" s="31" t="s">
        <v>150</v>
      </c>
      <c r="D68" s="20"/>
      <c r="E68" s="20"/>
      <c r="F68" s="31"/>
      <c r="G68" s="20">
        <f>D68*E68</f>
        <v>0</v>
      </c>
      <c r="H68" s="22">
        <f>D68*4</f>
        <v>0</v>
      </c>
    </row>
    <row r="69" spans="1:8" ht="34.200000000000003" x14ac:dyDescent="0.2">
      <c r="A69" s="103"/>
      <c r="B69" s="88"/>
      <c r="C69" s="34" t="s">
        <v>40</v>
      </c>
      <c r="D69" s="24"/>
      <c r="E69" s="24"/>
      <c r="F69" s="34"/>
      <c r="G69" s="24">
        <f>D69*E69</f>
        <v>0</v>
      </c>
      <c r="H69" s="26">
        <f t="shared" ref="H69:H75" si="3">D69*4</f>
        <v>0</v>
      </c>
    </row>
    <row r="70" spans="1:8" ht="22.8" x14ac:dyDescent="0.2">
      <c r="A70" s="103"/>
      <c r="B70" s="88"/>
      <c r="C70" s="34" t="s">
        <v>41</v>
      </c>
      <c r="D70" s="24"/>
      <c r="E70" s="24"/>
      <c r="F70" s="34"/>
      <c r="G70" s="24">
        <f t="shared" ref="G70:G75" si="4">D70*E70</f>
        <v>0</v>
      </c>
      <c r="H70" s="26">
        <f t="shared" si="3"/>
        <v>0</v>
      </c>
    </row>
    <row r="71" spans="1:8" ht="34.200000000000003" x14ac:dyDescent="0.2">
      <c r="A71" s="103"/>
      <c r="B71" s="88"/>
      <c r="C71" s="34" t="s">
        <v>151</v>
      </c>
      <c r="D71" s="24"/>
      <c r="E71" s="24"/>
      <c r="F71" s="34"/>
      <c r="G71" s="24">
        <f t="shared" si="4"/>
        <v>0</v>
      </c>
      <c r="H71" s="26">
        <f t="shared" si="3"/>
        <v>0</v>
      </c>
    </row>
    <row r="72" spans="1:8" ht="34.200000000000003" x14ac:dyDescent="0.2">
      <c r="A72" s="103"/>
      <c r="B72" s="89"/>
      <c r="C72" s="34" t="s">
        <v>42</v>
      </c>
      <c r="D72" s="24"/>
      <c r="E72" s="24"/>
      <c r="F72" s="34"/>
      <c r="G72" s="24">
        <f t="shared" si="4"/>
        <v>0</v>
      </c>
      <c r="H72" s="26">
        <f t="shared" si="3"/>
        <v>0</v>
      </c>
    </row>
    <row r="73" spans="1:8" ht="34.200000000000003" x14ac:dyDescent="0.2">
      <c r="A73" s="103"/>
      <c r="B73" s="87" t="s">
        <v>15</v>
      </c>
      <c r="C73" s="34" t="s">
        <v>142</v>
      </c>
      <c r="D73" s="24"/>
      <c r="E73" s="24"/>
      <c r="F73" s="34"/>
      <c r="G73" s="24">
        <f t="shared" si="4"/>
        <v>0</v>
      </c>
      <c r="H73" s="26">
        <f t="shared" si="3"/>
        <v>0</v>
      </c>
    </row>
    <row r="74" spans="1:8" ht="49.5" customHeight="1" x14ac:dyDescent="0.2">
      <c r="A74" s="103"/>
      <c r="B74" s="89"/>
      <c r="C74" s="34" t="s">
        <v>141</v>
      </c>
      <c r="D74" s="24"/>
      <c r="E74" s="24"/>
      <c r="F74" s="34"/>
      <c r="G74" s="24">
        <f t="shared" si="4"/>
        <v>0</v>
      </c>
      <c r="H74" s="26">
        <f t="shared" si="3"/>
        <v>0</v>
      </c>
    </row>
    <row r="75" spans="1:8" ht="22.8" x14ac:dyDescent="0.2">
      <c r="A75" s="99"/>
      <c r="B75" s="34" t="s">
        <v>16</v>
      </c>
      <c r="C75" s="34" t="s">
        <v>140</v>
      </c>
      <c r="D75" s="24"/>
      <c r="E75" s="24"/>
      <c r="F75" s="34"/>
      <c r="G75" s="24">
        <f t="shared" si="4"/>
        <v>0</v>
      </c>
      <c r="H75" s="26">
        <f t="shared" si="3"/>
        <v>0</v>
      </c>
    </row>
    <row r="76" spans="1:8" ht="12" thickBot="1" x14ac:dyDescent="0.25">
      <c r="A76" s="81" t="s">
        <v>101</v>
      </c>
      <c r="B76" s="54"/>
      <c r="C76" s="37"/>
      <c r="D76" s="28"/>
      <c r="E76" s="28"/>
      <c r="F76" s="37"/>
      <c r="G76" s="40">
        <f>SUM(G68:G75)</f>
        <v>0</v>
      </c>
      <c r="H76" s="30">
        <f>SUM(H68:H75)</f>
        <v>0</v>
      </c>
    </row>
    <row r="77" spans="1:8" ht="23.4" thickTop="1" x14ac:dyDescent="0.2">
      <c r="A77" s="98" t="s">
        <v>102</v>
      </c>
      <c r="B77" s="90" t="s">
        <v>17</v>
      </c>
      <c r="C77" s="31" t="s">
        <v>43</v>
      </c>
      <c r="D77" s="20"/>
      <c r="E77" s="20"/>
      <c r="F77" s="31"/>
      <c r="G77" s="20">
        <f>D77*E77</f>
        <v>0</v>
      </c>
      <c r="H77" s="22">
        <f>D77*4</f>
        <v>0</v>
      </c>
    </row>
    <row r="78" spans="1:8" ht="22.8" x14ac:dyDescent="0.2">
      <c r="A78" s="103"/>
      <c r="B78" s="89"/>
      <c r="C78" s="34" t="s">
        <v>45</v>
      </c>
      <c r="D78" s="24"/>
      <c r="E78" s="24"/>
      <c r="F78" s="34"/>
      <c r="G78" s="24">
        <f>D78*E78</f>
        <v>0</v>
      </c>
      <c r="H78" s="26">
        <f>D78*4</f>
        <v>0</v>
      </c>
    </row>
    <row r="79" spans="1:8" ht="22.8" x14ac:dyDescent="0.2">
      <c r="A79" s="103"/>
      <c r="B79" s="87" t="s">
        <v>118</v>
      </c>
      <c r="C79" s="34" t="s">
        <v>44</v>
      </c>
      <c r="D79" s="24"/>
      <c r="E79" s="24"/>
      <c r="F79" s="34"/>
      <c r="G79" s="24">
        <f>D79*E79</f>
        <v>0</v>
      </c>
      <c r="H79" s="26">
        <f>D79*4</f>
        <v>0</v>
      </c>
    </row>
    <row r="80" spans="1:8" ht="22.8" x14ac:dyDescent="0.2">
      <c r="A80" s="99"/>
      <c r="B80" s="89"/>
      <c r="C80" s="34" t="s">
        <v>139</v>
      </c>
      <c r="D80" s="24"/>
      <c r="E80" s="24"/>
      <c r="F80" s="34"/>
      <c r="G80" s="24">
        <f>D80*E80</f>
        <v>0</v>
      </c>
      <c r="H80" s="26">
        <f>D80*4</f>
        <v>0</v>
      </c>
    </row>
    <row r="81" spans="1:8" ht="12" thickBot="1" x14ac:dyDescent="0.25">
      <c r="A81" s="81" t="s">
        <v>101</v>
      </c>
      <c r="B81" s="54"/>
      <c r="C81" s="37"/>
      <c r="D81" s="28"/>
      <c r="E81" s="28"/>
      <c r="F81" s="37"/>
      <c r="G81" s="40">
        <f>SUM(G77:G80)</f>
        <v>0</v>
      </c>
      <c r="H81" s="30">
        <f>SUM(H77:H80)</f>
        <v>0</v>
      </c>
    </row>
    <row r="82" spans="1:8" ht="57.6" thickTop="1" x14ac:dyDescent="0.2">
      <c r="A82" s="98" t="s">
        <v>18</v>
      </c>
      <c r="B82" s="31" t="s">
        <v>109</v>
      </c>
      <c r="C82" s="31" t="s">
        <v>196</v>
      </c>
      <c r="D82" s="20"/>
      <c r="E82" s="20"/>
      <c r="F82" s="31"/>
      <c r="G82" s="20">
        <f>D82*E82</f>
        <v>0</v>
      </c>
      <c r="H82" s="22">
        <f>D82*4</f>
        <v>0</v>
      </c>
    </row>
    <row r="83" spans="1:8" ht="34.200000000000003" x14ac:dyDescent="0.2">
      <c r="A83" s="103"/>
      <c r="B83" s="97" t="s">
        <v>19</v>
      </c>
      <c r="C83" s="34" t="s">
        <v>197</v>
      </c>
      <c r="D83" s="24"/>
      <c r="E83" s="24"/>
      <c r="F83" s="34"/>
      <c r="G83" s="24">
        <f>D83*E83</f>
        <v>0</v>
      </c>
      <c r="H83" s="26">
        <f t="shared" ref="H83:H92" si="5">D83*4</f>
        <v>0</v>
      </c>
    </row>
    <row r="84" spans="1:8" ht="22.8" x14ac:dyDescent="0.2">
      <c r="A84" s="103"/>
      <c r="B84" s="97"/>
      <c r="C84" s="34" t="s">
        <v>152</v>
      </c>
      <c r="D84" s="24"/>
      <c r="E84" s="24"/>
      <c r="F84" s="34"/>
      <c r="G84" s="24">
        <f>D84*E84</f>
        <v>0</v>
      </c>
      <c r="H84" s="26">
        <f>D84*4</f>
        <v>0</v>
      </c>
    </row>
    <row r="85" spans="1:8" ht="22.8" x14ac:dyDescent="0.2">
      <c r="A85" s="103"/>
      <c r="B85" s="97"/>
      <c r="C85" s="34" t="s">
        <v>153</v>
      </c>
      <c r="D85" s="24"/>
      <c r="E85" s="24"/>
      <c r="F85" s="34"/>
      <c r="G85" s="24">
        <f>D85*E85</f>
        <v>0</v>
      </c>
      <c r="H85" s="26">
        <f>D85*4</f>
        <v>0</v>
      </c>
    </row>
    <row r="86" spans="1:8" ht="34.200000000000003" x14ac:dyDescent="0.2">
      <c r="A86" s="103"/>
      <c r="B86" s="34" t="s">
        <v>20</v>
      </c>
      <c r="C86" s="34" t="s">
        <v>154</v>
      </c>
      <c r="D86" s="24"/>
      <c r="E86" s="24"/>
      <c r="F86" s="34"/>
      <c r="G86" s="24">
        <f t="shared" ref="G86:G92" si="6">D86*E86</f>
        <v>0</v>
      </c>
      <c r="H86" s="26">
        <f t="shared" si="5"/>
        <v>0</v>
      </c>
    </row>
    <row r="87" spans="1:8" ht="45.6" x14ac:dyDescent="0.2">
      <c r="A87" s="103"/>
      <c r="B87" s="97" t="s">
        <v>155</v>
      </c>
      <c r="C87" s="34" t="s">
        <v>156</v>
      </c>
      <c r="D87" s="24"/>
      <c r="E87" s="24"/>
      <c r="F87" s="34"/>
      <c r="G87" s="24">
        <f t="shared" si="6"/>
        <v>0</v>
      </c>
      <c r="H87" s="26">
        <f t="shared" si="5"/>
        <v>0</v>
      </c>
    </row>
    <row r="88" spans="1:8" ht="22.8" x14ac:dyDescent="0.2">
      <c r="A88" s="103"/>
      <c r="B88" s="97"/>
      <c r="C88" s="34" t="s">
        <v>198</v>
      </c>
      <c r="D88" s="24"/>
      <c r="E88" s="24"/>
      <c r="F88" s="34"/>
      <c r="G88" s="24">
        <f>D88*E88</f>
        <v>0</v>
      </c>
      <c r="H88" s="26">
        <f>D88*4</f>
        <v>0</v>
      </c>
    </row>
    <row r="89" spans="1:8" ht="45.6" x14ac:dyDescent="0.2">
      <c r="A89" s="103"/>
      <c r="B89" s="23" t="s">
        <v>157</v>
      </c>
      <c r="C89" s="34" t="s">
        <v>158</v>
      </c>
      <c r="D89" s="24"/>
      <c r="E89" s="24"/>
      <c r="F89" s="34"/>
      <c r="G89" s="24">
        <f t="shared" si="6"/>
        <v>0</v>
      </c>
      <c r="H89" s="26">
        <f t="shared" si="5"/>
        <v>0</v>
      </c>
    </row>
    <row r="90" spans="1:8" ht="22.8" x14ac:dyDescent="0.2">
      <c r="A90" s="103"/>
      <c r="B90" s="34" t="s">
        <v>199</v>
      </c>
      <c r="C90" s="34" t="s">
        <v>21</v>
      </c>
      <c r="D90" s="24"/>
      <c r="E90" s="24"/>
      <c r="F90" s="34"/>
      <c r="G90" s="24">
        <f t="shared" si="6"/>
        <v>0</v>
      </c>
      <c r="H90" s="26">
        <f t="shared" si="5"/>
        <v>0</v>
      </c>
    </row>
    <row r="91" spans="1:8" ht="36.75" customHeight="1" x14ac:dyDescent="0.2">
      <c r="A91" s="103"/>
      <c r="B91" s="34" t="s">
        <v>132</v>
      </c>
      <c r="C91" s="34" t="s">
        <v>159</v>
      </c>
      <c r="D91" s="24"/>
      <c r="E91" s="24"/>
      <c r="F91" s="34"/>
      <c r="G91" s="24">
        <f t="shared" si="6"/>
        <v>0</v>
      </c>
      <c r="H91" s="26">
        <f t="shared" si="5"/>
        <v>0</v>
      </c>
    </row>
    <row r="92" spans="1:8" ht="34.200000000000003" x14ac:dyDescent="0.2">
      <c r="A92" s="99"/>
      <c r="B92" s="34" t="s">
        <v>222</v>
      </c>
      <c r="C92" s="34" t="s">
        <v>138</v>
      </c>
      <c r="D92" s="24"/>
      <c r="E92" s="24"/>
      <c r="F92" s="34"/>
      <c r="G92" s="24">
        <f t="shared" si="6"/>
        <v>0</v>
      </c>
      <c r="H92" s="26">
        <f t="shared" si="5"/>
        <v>0</v>
      </c>
    </row>
    <row r="93" spans="1:8" ht="12" thickBot="1" x14ac:dyDescent="0.25">
      <c r="A93" s="81" t="s">
        <v>101</v>
      </c>
      <c r="B93" s="54"/>
      <c r="C93" s="37"/>
      <c r="D93" s="28"/>
      <c r="E93" s="28"/>
      <c r="F93" s="37"/>
      <c r="G93" s="40">
        <f>SUM(G82:G92)</f>
        <v>0</v>
      </c>
      <c r="H93" s="30">
        <f>SUM(H82:H92)</f>
        <v>0</v>
      </c>
    </row>
    <row r="94" spans="1:8" ht="34.799999999999997" thickTop="1" x14ac:dyDescent="0.2">
      <c r="A94" s="82" t="s">
        <v>100</v>
      </c>
      <c r="B94" s="31" t="s">
        <v>133</v>
      </c>
      <c r="C94" s="31" t="s">
        <v>160</v>
      </c>
      <c r="D94" s="20"/>
      <c r="E94" s="20"/>
      <c r="F94" s="31"/>
      <c r="G94" s="20">
        <f>D94*E94</f>
        <v>0</v>
      </c>
      <c r="H94" s="22">
        <f>D94*4</f>
        <v>0</v>
      </c>
    </row>
    <row r="95" spans="1:8" ht="12" thickBot="1" x14ac:dyDescent="0.25">
      <c r="A95" s="81" t="s">
        <v>101</v>
      </c>
      <c r="B95" s="54"/>
      <c r="C95" s="37"/>
      <c r="D95" s="28"/>
      <c r="E95" s="28"/>
      <c r="F95" s="37"/>
      <c r="G95" s="40">
        <f>SUM(G94)</f>
        <v>0</v>
      </c>
      <c r="H95" s="30">
        <f>SUM(H94)</f>
        <v>0</v>
      </c>
    </row>
    <row r="96" spans="1:8" ht="48.75" customHeight="1" thickTop="1" x14ac:dyDescent="0.2">
      <c r="A96" s="98" t="s">
        <v>119</v>
      </c>
      <c r="B96" s="90" t="s">
        <v>23</v>
      </c>
      <c r="C96" s="31" t="s">
        <v>46</v>
      </c>
      <c r="D96" s="20"/>
      <c r="E96" s="20"/>
      <c r="F96" s="31"/>
      <c r="G96" s="20">
        <f>D96*E96</f>
        <v>0</v>
      </c>
      <c r="H96" s="22">
        <f>D96*4</f>
        <v>0</v>
      </c>
    </row>
    <row r="97" spans="1:8" ht="34.200000000000003" x14ac:dyDescent="0.2">
      <c r="A97" s="99"/>
      <c r="B97" s="89"/>
      <c r="C97" s="34" t="s">
        <v>227</v>
      </c>
      <c r="D97" s="24"/>
      <c r="E97" s="24"/>
      <c r="F97" s="34"/>
      <c r="G97" s="24">
        <f>D97*E97</f>
        <v>0</v>
      </c>
      <c r="H97" s="26">
        <f>D97*4</f>
        <v>0</v>
      </c>
    </row>
    <row r="98" spans="1:8" ht="12" thickBot="1" x14ac:dyDescent="0.25">
      <c r="A98" s="81" t="s">
        <v>101</v>
      </c>
      <c r="B98" s="54"/>
      <c r="C98" s="37"/>
      <c r="D98" s="28"/>
      <c r="E98" s="28"/>
      <c r="F98" s="37"/>
      <c r="G98" s="28">
        <f>SUM(G96:G97)</f>
        <v>0</v>
      </c>
      <c r="H98" s="30">
        <f>SUM(H96:H97)</f>
        <v>0</v>
      </c>
    </row>
    <row r="99" spans="1:8" ht="23.4" thickTop="1" x14ac:dyDescent="0.2">
      <c r="A99" s="98" t="s">
        <v>6</v>
      </c>
      <c r="B99" s="90" t="s">
        <v>162</v>
      </c>
      <c r="C99" s="31" t="s">
        <v>48</v>
      </c>
      <c r="D99" s="20"/>
      <c r="E99" s="20"/>
      <c r="F99" s="31"/>
      <c r="G99" s="20">
        <f t="shared" ref="G99:G104" si="7">D99*E99</f>
        <v>0</v>
      </c>
      <c r="H99" s="22">
        <f t="shared" ref="H99:H104" si="8">D99*4</f>
        <v>0</v>
      </c>
    </row>
    <row r="100" spans="1:8" ht="34.200000000000003" x14ac:dyDescent="0.2">
      <c r="A100" s="103"/>
      <c r="B100" s="88"/>
      <c r="C100" s="34" t="s">
        <v>161</v>
      </c>
      <c r="D100" s="24"/>
      <c r="E100" s="24"/>
      <c r="F100" s="34"/>
      <c r="G100" s="24">
        <f t="shared" si="7"/>
        <v>0</v>
      </c>
      <c r="H100" s="26">
        <f t="shared" si="8"/>
        <v>0</v>
      </c>
    </row>
    <row r="101" spans="1:8" ht="34.200000000000003" x14ac:dyDescent="0.2">
      <c r="A101" s="103"/>
      <c r="B101" s="89"/>
      <c r="C101" s="34" t="s">
        <v>137</v>
      </c>
      <c r="D101" s="24"/>
      <c r="E101" s="24"/>
      <c r="F101" s="34"/>
      <c r="G101" s="24">
        <f t="shared" si="7"/>
        <v>0</v>
      </c>
      <c r="H101" s="26">
        <f t="shared" si="8"/>
        <v>0</v>
      </c>
    </row>
    <row r="102" spans="1:8" ht="22.8" x14ac:dyDescent="0.2">
      <c r="A102" s="103"/>
      <c r="B102" s="87" t="s">
        <v>31</v>
      </c>
      <c r="C102" s="34" t="s">
        <v>202</v>
      </c>
      <c r="D102" s="24"/>
      <c r="E102" s="24"/>
      <c r="F102" s="34"/>
      <c r="G102" s="24">
        <f t="shared" si="7"/>
        <v>0</v>
      </c>
      <c r="H102" s="26">
        <f t="shared" si="8"/>
        <v>0</v>
      </c>
    </row>
    <row r="103" spans="1:8" ht="34.200000000000003" x14ac:dyDescent="0.2">
      <c r="A103" s="103"/>
      <c r="B103" s="88"/>
      <c r="C103" s="34" t="s">
        <v>161</v>
      </c>
      <c r="D103" s="24"/>
      <c r="E103" s="24"/>
      <c r="F103" s="34"/>
      <c r="G103" s="24">
        <f t="shared" si="7"/>
        <v>0</v>
      </c>
      <c r="H103" s="26">
        <f t="shared" si="8"/>
        <v>0</v>
      </c>
    </row>
    <row r="104" spans="1:8" ht="24.75" customHeight="1" x14ac:dyDescent="0.2">
      <c r="A104" s="99"/>
      <c r="B104" s="89"/>
      <c r="C104" s="34" t="s">
        <v>163</v>
      </c>
      <c r="D104" s="24"/>
      <c r="E104" s="24"/>
      <c r="F104" s="34"/>
      <c r="G104" s="24">
        <f t="shared" si="7"/>
        <v>0</v>
      </c>
      <c r="H104" s="26">
        <f t="shared" si="8"/>
        <v>0</v>
      </c>
    </row>
    <row r="105" spans="1:8" ht="12" thickBot="1" x14ac:dyDescent="0.25">
      <c r="A105" s="81" t="s">
        <v>101</v>
      </c>
      <c r="B105" s="54"/>
      <c r="C105" s="37"/>
      <c r="D105" s="28"/>
      <c r="E105" s="28"/>
      <c r="F105" s="37"/>
      <c r="G105" s="40">
        <f>SUM(G99:G104)</f>
        <v>0</v>
      </c>
      <c r="H105" s="30">
        <f>SUM(H99:H104)</f>
        <v>0</v>
      </c>
    </row>
    <row r="106" spans="1:8" ht="37.5" customHeight="1" thickTop="1" x14ac:dyDescent="0.2">
      <c r="A106" s="84" t="s">
        <v>111</v>
      </c>
      <c r="B106" s="90" t="s">
        <v>24</v>
      </c>
      <c r="C106" s="31" t="s">
        <v>201</v>
      </c>
      <c r="D106" s="41"/>
      <c r="E106" s="41"/>
      <c r="F106" s="21"/>
      <c r="G106" s="20">
        <f>D106*E106</f>
        <v>0</v>
      </c>
      <c r="H106" s="22">
        <f>D106*4</f>
        <v>0</v>
      </c>
    </row>
    <row r="107" spans="1:8" ht="22.8" x14ac:dyDescent="0.2">
      <c r="A107" s="85"/>
      <c r="B107" s="89"/>
      <c r="C107" s="34" t="s">
        <v>49</v>
      </c>
      <c r="D107" s="42"/>
      <c r="E107" s="42"/>
      <c r="F107" s="25"/>
      <c r="G107" s="24">
        <f>D107*E107</f>
        <v>0</v>
      </c>
      <c r="H107" s="26">
        <f>D107*4</f>
        <v>0</v>
      </c>
    </row>
    <row r="108" spans="1:8" ht="34.200000000000003" x14ac:dyDescent="0.2">
      <c r="A108" s="85"/>
      <c r="B108" s="87" t="s">
        <v>22</v>
      </c>
      <c r="C108" s="34" t="s">
        <v>50</v>
      </c>
      <c r="D108" s="42"/>
      <c r="E108" s="42"/>
      <c r="F108" s="25"/>
      <c r="G108" s="24">
        <f>D108*E108</f>
        <v>0</v>
      </c>
      <c r="H108" s="26">
        <f>D108*4</f>
        <v>0</v>
      </c>
    </row>
    <row r="109" spans="1:8" ht="34.200000000000003" x14ac:dyDescent="0.2">
      <c r="A109" s="85"/>
      <c r="B109" s="88"/>
      <c r="C109" s="34" t="s">
        <v>164</v>
      </c>
      <c r="D109" s="42"/>
      <c r="E109" s="42"/>
      <c r="F109" s="25"/>
      <c r="G109" s="24">
        <f>D109*E109</f>
        <v>0</v>
      </c>
      <c r="H109" s="26">
        <f>D109*4</f>
        <v>0</v>
      </c>
    </row>
    <row r="110" spans="1:8" ht="34.200000000000003" x14ac:dyDescent="0.2">
      <c r="A110" s="86"/>
      <c r="B110" s="89"/>
      <c r="C110" s="34" t="s">
        <v>51</v>
      </c>
      <c r="D110" s="42"/>
      <c r="E110" s="42"/>
      <c r="F110" s="25"/>
      <c r="G110" s="24">
        <f>D110*E110</f>
        <v>0</v>
      </c>
      <c r="H110" s="26">
        <f>D110*4</f>
        <v>0</v>
      </c>
    </row>
    <row r="111" spans="1:8" ht="12" thickBot="1" x14ac:dyDescent="0.25">
      <c r="A111" s="81" t="s">
        <v>101</v>
      </c>
      <c r="B111" s="54"/>
      <c r="C111" s="37"/>
      <c r="D111" s="40"/>
      <c r="E111" s="40"/>
      <c r="F111" s="29"/>
      <c r="G111" s="28">
        <f>SUM(G106:G110)</f>
        <v>0</v>
      </c>
      <c r="H111" s="30">
        <f>SUM(H106:H110)</f>
        <v>0</v>
      </c>
    </row>
    <row r="112" spans="1:8" ht="23.4" thickTop="1" x14ac:dyDescent="0.2">
      <c r="A112" s="98" t="s">
        <v>200</v>
      </c>
      <c r="B112" s="90" t="s">
        <v>25</v>
      </c>
      <c r="C112" s="31" t="s">
        <v>26</v>
      </c>
      <c r="D112" s="41"/>
      <c r="E112" s="41"/>
      <c r="F112" s="21"/>
      <c r="G112" s="20">
        <f t="shared" ref="G112:G118" si="9">D112*E112</f>
        <v>0</v>
      </c>
      <c r="H112" s="22">
        <f t="shared" ref="H112:H118" si="10">D112*4</f>
        <v>0</v>
      </c>
    </row>
    <row r="113" spans="1:8" ht="37.5" customHeight="1" x14ac:dyDescent="0.2">
      <c r="A113" s="103"/>
      <c r="B113" s="88"/>
      <c r="C113" s="34" t="s">
        <v>165</v>
      </c>
      <c r="D113" s="42"/>
      <c r="E113" s="42"/>
      <c r="F113" s="25"/>
      <c r="G113" s="24">
        <f t="shared" si="9"/>
        <v>0</v>
      </c>
      <c r="H113" s="26">
        <f t="shared" si="10"/>
        <v>0</v>
      </c>
    </row>
    <row r="114" spans="1:8" ht="22.8" x14ac:dyDescent="0.2">
      <c r="A114" s="103"/>
      <c r="B114" s="89"/>
      <c r="C114" s="34" t="s">
        <v>204</v>
      </c>
      <c r="D114" s="42"/>
      <c r="E114" s="42"/>
      <c r="F114" s="25"/>
      <c r="G114" s="24">
        <f t="shared" si="9"/>
        <v>0</v>
      </c>
      <c r="H114" s="26">
        <f t="shared" si="10"/>
        <v>0</v>
      </c>
    </row>
    <row r="115" spans="1:8" ht="34.200000000000003" x14ac:dyDescent="0.2">
      <c r="A115" s="103"/>
      <c r="B115" s="87" t="s">
        <v>203</v>
      </c>
      <c r="C115" s="34" t="s">
        <v>205</v>
      </c>
      <c r="D115" s="42"/>
      <c r="E115" s="42"/>
      <c r="F115" s="25"/>
      <c r="G115" s="24">
        <f t="shared" si="9"/>
        <v>0</v>
      </c>
      <c r="H115" s="26">
        <f t="shared" si="10"/>
        <v>0</v>
      </c>
    </row>
    <row r="116" spans="1:8" ht="24.75" customHeight="1" x14ac:dyDescent="0.2">
      <c r="A116" s="103"/>
      <c r="B116" s="88"/>
      <c r="C116" s="34" t="s">
        <v>166</v>
      </c>
      <c r="D116" s="42"/>
      <c r="E116" s="42"/>
      <c r="F116" s="25"/>
      <c r="G116" s="24">
        <f>D116*E116</f>
        <v>0</v>
      </c>
      <c r="H116" s="26">
        <f>D116*4</f>
        <v>0</v>
      </c>
    </row>
    <row r="117" spans="1:8" ht="49.5" customHeight="1" x14ac:dyDescent="0.2">
      <c r="A117" s="103"/>
      <c r="B117" s="88"/>
      <c r="C117" s="34" t="s">
        <v>206</v>
      </c>
      <c r="D117" s="42"/>
      <c r="E117" s="42"/>
      <c r="F117" s="25"/>
      <c r="G117" s="24">
        <f t="shared" si="9"/>
        <v>0</v>
      </c>
      <c r="H117" s="26">
        <f t="shared" si="10"/>
        <v>0</v>
      </c>
    </row>
    <row r="118" spans="1:8" ht="22.8" x14ac:dyDescent="0.2">
      <c r="A118" s="99"/>
      <c r="B118" s="89"/>
      <c r="C118" s="34" t="s">
        <v>204</v>
      </c>
      <c r="D118" s="42"/>
      <c r="E118" s="42"/>
      <c r="F118" s="25"/>
      <c r="G118" s="24">
        <f t="shared" si="9"/>
        <v>0</v>
      </c>
      <c r="H118" s="26">
        <f t="shared" si="10"/>
        <v>0</v>
      </c>
    </row>
    <row r="119" spans="1:8" ht="12" thickBot="1" x14ac:dyDescent="0.25">
      <c r="A119" s="81" t="s">
        <v>101</v>
      </c>
      <c r="B119" s="54"/>
      <c r="C119" s="37"/>
      <c r="D119" s="40"/>
      <c r="E119" s="40"/>
      <c r="F119" s="29"/>
      <c r="G119" s="40">
        <f>SUM(G112:G118)</f>
        <v>0</v>
      </c>
      <c r="H119" s="30">
        <f>SUM(H112:H118)</f>
        <v>0</v>
      </c>
    </row>
    <row r="120" spans="1:8" ht="23.4" thickTop="1" x14ac:dyDescent="0.2">
      <c r="A120" s="98" t="s">
        <v>114</v>
      </c>
      <c r="B120" s="104" t="s">
        <v>36</v>
      </c>
      <c r="C120" s="31" t="s">
        <v>52</v>
      </c>
      <c r="D120" s="41"/>
      <c r="E120" s="41"/>
      <c r="F120" s="21"/>
      <c r="G120" s="20">
        <f t="shared" ref="G120:G126" si="11">D120*E120</f>
        <v>0</v>
      </c>
      <c r="H120" s="22">
        <f>D120*4</f>
        <v>0</v>
      </c>
    </row>
    <row r="121" spans="1:8" ht="22.8" x14ac:dyDescent="0.2">
      <c r="A121" s="103"/>
      <c r="B121" s="97"/>
      <c r="C121" s="34" t="s">
        <v>54</v>
      </c>
      <c r="D121" s="42"/>
      <c r="E121" s="42"/>
      <c r="F121" s="25"/>
      <c r="G121" s="24">
        <f t="shared" si="11"/>
        <v>0</v>
      </c>
      <c r="H121" s="26">
        <f>D121*4</f>
        <v>0</v>
      </c>
    </row>
    <row r="122" spans="1:8" ht="34.200000000000003" x14ac:dyDescent="0.2">
      <c r="A122" s="103"/>
      <c r="B122" s="97"/>
      <c r="C122" s="34" t="s">
        <v>209</v>
      </c>
      <c r="D122" s="42"/>
      <c r="E122" s="42"/>
      <c r="F122" s="25"/>
      <c r="G122" s="24">
        <f t="shared" si="11"/>
        <v>0</v>
      </c>
      <c r="H122" s="26">
        <f>D122*4</f>
        <v>0</v>
      </c>
    </row>
    <row r="123" spans="1:8" ht="22.8" x14ac:dyDescent="0.2">
      <c r="A123" s="103"/>
      <c r="B123" s="97"/>
      <c r="C123" s="34" t="s">
        <v>53</v>
      </c>
      <c r="D123" s="42"/>
      <c r="E123" s="42"/>
      <c r="F123" s="25"/>
      <c r="G123" s="24">
        <f t="shared" si="11"/>
        <v>0</v>
      </c>
      <c r="H123" s="26">
        <f t="shared" ref="H123:H141" si="12">D123*4</f>
        <v>0</v>
      </c>
    </row>
    <row r="124" spans="1:8" ht="24.75" customHeight="1" x14ac:dyDescent="0.2">
      <c r="A124" s="103"/>
      <c r="B124" s="97"/>
      <c r="C124" s="34" t="s">
        <v>136</v>
      </c>
      <c r="D124" s="42"/>
      <c r="E124" s="42"/>
      <c r="F124" s="25"/>
      <c r="G124" s="24">
        <f t="shared" si="11"/>
        <v>0</v>
      </c>
      <c r="H124" s="26">
        <f t="shared" si="12"/>
        <v>0</v>
      </c>
    </row>
    <row r="125" spans="1:8" ht="48.75" customHeight="1" x14ac:dyDescent="0.2">
      <c r="A125" s="103"/>
      <c r="B125" s="97"/>
      <c r="C125" s="34" t="s">
        <v>210</v>
      </c>
      <c r="D125" s="42"/>
      <c r="E125" s="42"/>
      <c r="F125" s="25"/>
      <c r="G125" s="24">
        <f t="shared" si="11"/>
        <v>0</v>
      </c>
      <c r="H125" s="26">
        <f>D125*4</f>
        <v>0</v>
      </c>
    </row>
    <row r="126" spans="1:8" ht="22.8" x14ac:dyDescent="0.2">
      <c r="A126" s="103"/>
      <c r="B126" s="97"/>
      <c r="C126" s="34" t="s">
        <v>211</v>
      </c>
      <c r="D126" s="42"/>
      <c r="E126" s="42"/>
      <c r="F126" s="25"/>
      <c r="G126" s="24">
        <f t="shared" si="11"/>
        <v>0</v>
      </c>
      <c r="H126" s="26">
        <f>D126*4</f>
        <v>0</v>
      </c>
    </row>
    <row r="127" spans="1:8" ht="36.75" customHeight="1" x14ac:dyDescent="0.2">
      <c r="A127" s="103"/>
      <c r="B127" s="97"/>
      <c r="C127" s="34" t="s">
        <v>212</v>
      </c>
      <c r="D127" s="42"/>
      <c r="E127" s="42"/>
      <c r="F127" s="25"/>
      <c r="G127" s="24">
        <f t="shared" ref="G127:G137" si="13">D127*E127</f>
        <v>0</v>
      </c>
      <c r="H127" s="26">
        <f t="shared" si="12"/>
        <v>0</v>
      </c>
    </row>
    <row r="128" spans="1:8" x14ac:dyDescent="0.2">
      <c r="A128" s="103"/>
      <c r="B128" s="97" t="s">
        <v>207</v>
      </c>
      <c r="C128" s="34" t="s">
        <v>56</v>
      </c>
      <c r="D128" s="42"/>
      <c r="E128" s="42"/>
      <c r="F128" s="25"/>
      <c r="G128" s="24">
        <f t="shared" si="13"/>
        <v>0</v>
      </c>
      <c r="H128" s="26">
        <f t="shared" si="12"/>
        <v>0</v>
      </c>
    </row>
    <row r="129" spans="1:8" ht="22.8" x14ac:dyDescent="0.2">
      <c r="A129" s="103"/>
      <c r="B129" s="97"/>
      <c r="C129" s="34" t="s">
        <v>55</v>
      </c>
      <c r="D129" s="42"/>
      <c r="E129" s="42"/>
      <c r="F129" s="25"/>
      <c r="G129" s="24">
        <f t="shared" si="13"/>
        <v>0</v>
      </c>
      <c r="H129" s="26">
        <f t="shared" si="12"/>
        <v>0</v>
      </c>
    </row>
    <row r="130" spans="1:8" ht="34.200000000000003" x14ac:dyDescent="0.2">
      <c r="A130" s="103"/>
      <c r="B130" s="97"/>
      <c r="C130" s="34" t="s">
        <v>61</v>
      </c>
      <c r="D130" s="42"/>
      <c r="E130" s="42"/>
      <c r="F130" s="25"/>
      <c r="G130" s="24">
        <f t="shared" si="13"/>
        <v>0</v>
      </c>
      <c r="H130" s="26">
        <f t="shared" si="12"/>
        <v>0</v>
      </c>
    </row>
    <row r="131" spans="1:8" ht="34.200000000000003" x14ac:dyDescent="0.2">
      <c r="A131" s="103"/>
      <c r="B131" s="97"/>
      <c r="C131" s="34" t="s">
        <v>213</v>
      </c>
      <c r="D131" s="42"/>
      <c r="E131" s="42"/>
      <c r="F131" s="25"/>
      <c r="G131" s="24">
        <f t="shared" si="13"/>
        <v>0</v>
      </c>
      <c r="H131" s="26">
        <f t="shared" si="12"/>
        <v>0</v>
      </c>
    </row>
    <row r="132" spans="1:8" ht="22.8" x14ac:dyDescent="0.2">
      <c r="A132" s="103"/>
      <c r="B132" s="97" t="s">
        <v>27</v>
      </c>
      <c r="C132" s="34" t="s">
        <v>57</v>
      </c>
      <c r="D132" s="42"/>
      <c r="E132" s="42"/>
      <c r="F132" s="25"/>
      <c r="G132" s="24">
        <f t="shared" si="13"/>
        <v>0</v>
      </c>
      <c r="H132" s="26">
        <f t="shared" si="12"/>
        <v>0</v>
      </c>
    </row>
    <row r="133" spans="1:8" ht="34.200000000000003" x14ac:dyDescent="0.2">
      <c r="A133" s="103"/>
      <c r="B133" s="97"/>
      <c r="C133" s="34" t="s">
        <v>214</v>
      </c>
      <c r="D133" s="42"/>
      <c r="E133" s="42"/>
      <c r="F133" s="25"/>
      <c r="G133" s="24">
        <f t="shared" si="13"/>
        <v>0</v>
      </c>
      <c r="H133" s="26">
        <f t="shared" si="12"/>
        <v>0</v>
      </c>
    </row>
    <row r="134" spans="1:8" ht="22.8" x14ac:dyDescent="0.2">
      <c r="A134" s="103"/>
      <c r="B134" s="97"/>
      <c r="C134" s="34" t="s">
        <v>58</v>
      </c>
      <c r="D134" s="42"/>
      <c r="E134" s="42"/>
      <c r="F134" s="25"/>
      <c r="G134" s="24">
        <f t="shared" si="13"/>
        <v>0</v>
      </c>
      <c r="H134" s="26">
        <f t="shared" si="12"/>
        <v>0</v>
      </c>
    </row>
    <row r="135" spans="1:8" ht="22.8" x14ac:dyDescent="0.2">
      <c r="A135" s="103"/>
      <c r="B135" s="97"/>
      <c r="C135" s="34" t="s">
        <v>62</v>
      </c>
      <c r="D135" s="42"/>
      <c r="E135" s="42"/>
      <c r="F135" s="25"/>
      <c r="G135" s="24">
        <f t="shared" si="13"/>
        <v>0</v>
      </c>
      <c r="H135" s="26">
        <f t="shared" si="12"/>
        <v>0</v>
      </c>
    </row>
    <row r="136" spans="1:8" ht="34.200000000000003" x14ac:dyDescent="0.2">
      <c r="A136" s="103"/>
      <c r="B136" s="97"/>
      <c r="C136" s="34" t="s">
        <v>63</v>
      </c>
      <c r="D136" s="42"/>
      <c r="E136" s="42"/>
      <c r="F136" s="25"/>
      <c r="G136" s="24">
        <f t="shared" si="13"/>
        <v>0</v>
      </c>
      <c r="H136" s="26">
        <f t="shared" si="12"/>
        <v>0</v>
      </c>
    </row>
    <row r="137" spans="1:8" ht="22.8" x14ac:dyDescent="0.2">
      <c r="A137" s="103"/>
      <c r="B137" s="97" t="s">
        <v>208</v>
      </c>
      <c r="C137" s="34" t="s">
        <v>59</v>
      </c>
      <c r="D137" s="42"/>
      <c r="E137" s="42"/>
      <c r="F137" s="25"/>
      <c r="G137" s="24">
        <f t="shared" si="13"/>
        <v>0</v>
      </c>
      <c r="H137" s="26">
        <f t="shared" si="12"/>
        <v>0</v>
      </c>
    </row>
    <row r="138" spans="1:8" ht="22.8" x14ac:dyDescent="0.2">
      <c r="A138" s="103"/>
      <c r="B138" s="97"/>
      <c r="C138" s="34" t="s">
        <v>60</v>
      </c>
      <c r="D138" s="42"/>
      <c r="E138" s="42"/>
      <c r="F138" s="25"/>
      <c r="G138" s="24">
        <f>D138*E138</f>
        <v>0</v>
      </c>
      <c r="H138" s="26">
        <f t="shared" si="12"/>
        <v>0</v>
      </c>
    </row>
    <row r="139" spans="1:8" ht="34.200000000000003" x14ac:dyDescent="0.2">
      <c r="A139" s="103"/>
      <c r="B139" s="97" t="s">
        <v>28</v>
      </c>
      <c r="C139" s="34" t="s">
        <v>64</v>
      </c>
      <c r="D139" s="42"/>
      <c r="E139" s="42"/>
      <c r="F139" s="25"/>
      <c r="G139" s="24">
        <f>D139*E139</f>
        <v>0</v>
      </c>
      <c r="H139" s="26">
        <f t="shared" si="12"/>
        <v>0</v>
      </c>
    </row>
    <row r="140" spans="1:8" ht="24.75" customHeight="1" x14ac:dyDescent="0.2">
      <c r="A140" s="103"/>
      <c r="B140" s="97"/>
      <c r="C140" s="34" t="s">
        <v>172</v>
      </c>
      <c r="D140" s="42"/>
      <c r="E140" s="42"/>
      <c r="F140" s="25"/>
      <c r="G140" s="24">
        <f>D140*E140</f>
        <v>0</v>
      </c>
      <c r="H140" s="26">
        <f>D140*4</f>
        <v>0</v>
      </c>
    </row>
    <row r="141" spans="1:8" ht="22.8" x14ac:dyDescent="0.2">
      <c r="A141" s="103"/>
      <c r="B141" s="97" t="s">
        <v>29</v>
      </c>
      <c r="C141" s="34" t="s">
        <v>65</v>
      </c>
      <c r="D141" s="42"/>
      <c r="E141" s="42"/>
      <c r="F141" s="25"/>
      <c r="G141" s="24">
        <f>D141*E141</f>
        <v>0</v>
      </c>
      <c r="H141" s="26">
        <f t="shared" si="12"/>
        <v>0</v>
      </c>
    </row>
    <row r="142" spans="1:8" ht="34.200000000000003" x14ac:dyDescent="0.2">
      <c r="A142" s="99"/>
      <c r="B142" s="97"/>
      <c r="C142" s="34" t="s">
        <v>173</v>
      </c>
      <c r="D142" s="42"/>
      <c r="E142" s="42"/>
      <c r="F142" s="25"/>
      <c r="G142" s="24">
        <f>D142*E142</f>
        <v>0</v>
      </c>
      <c r="H142" s="26">
        <f>D142*4</f>
        <v>0</v>
      </c>
    </row>
    <row r="143" spans="1:8" ht="12" thickBot="1" x14ac:dyDescent="0.25">
      <c r="A143" s="83" t="s">
        <v>101</v>
      </c>
      <c r="B143" s="54"/>
      <c r="C143" s="37"/>
      <c r="D143" s="40"/>
      <c r="E143" s="40"/>
      <c r="F143" s="29"/>
      <c r="G143" s="40">
        <f>SUM(G120:G142)</f>
        <v>0</v>
      </c>
      <c r="H143" s="30">
        <f>SUM(H120:H142)</f>
        <v>0</v>
      </c>
    </row>
    <row r="144" spans="1:8" ht="37.5" customHeight="1" thickTop="1" x14ac:dyDescent="0.2">
      <c r="A144" s="98" t="s">
        <v>30</v>
      </c>
      <c r="B144" s="104" t="s">
        <v>31</v>
      </c>
      <c r="C144" s="31" t="s">
        <v>215</v>
      </c>
      <c r="D144" s="41"/>
      <c r="E144" s="41"/>
      <c r="F144" s="21"/>
      <c r="G144" s="20">
        <f t="shared" ref="G144:G150" si="14">D144*E144</f>
        <v>0</v>
      </c>
      <c r="H144" s="22">
        <f>D144*4</f>
        <v>0</v>
      </c>
    </row>
    <row r="145" spans="1:8" ht="34.200000000000003" x14ac:dyDescent="0.2">
      <c r="A145" s="103"/>
      <c r="B145" s="97"/>
      <c r="C145" s="34" t="s">
        <v>66</v>
      </c>
      <c r="D145" s="42"/>
      <c r="E145" s="42"/>
      <c r="F145" s="25"/>
      <c r="G145" s="24">
        <f t="shared" si="14"/>
        <v>0</v>
      </c>
      <c r="H145" s="26">
        <f>D145*4</f>
        <v>0</v>
      </c>
    </row>
    <row r="146" spans="1:8" ht="22.8" x14ac:dyDescent="0.2">
      <c r="A146" s="103"/>
      <c r="B146" s="97"/>
      <c r="C146" s="34" t="s">
        <v>67</v>
      </c>
      <c r="D146" s="42"/>
      <c r="E146" s="42"/>
      <c r="F146" s="25"/>
      <c r="G146" s="24">
        <f t="shared" si="14"/>
        <v>0</v>
      </c>
      <c r="H146" s="26">
        <f>D146*4</f>
        <v>0</v>
      </c>
    </row>
    <row r="147" spans="1:8" ht="12" customHeight="1" x14ac:dyDescent="0.2">
      <c r="A147" s="103"/>
      <c r="B147" s="97"/>
      <c r="C147" s="34" t="s">
        <v>68</v>
      </c>
      <c r="D147" s="42"/>
      <c r="E147" s="42"/>
      <c r="F147" s="25"/>
      <c r="G147" s="24">
        <f t="shared" si="14"/>
        <v>0</v>
      </c>
      <c r="H147" s="26">
        <f t="shared" ref="H147:H182" si="15">D147*4</f>
        <v>0</v>
      </c>
    </row>
    <row r="148" spans="1:8" ht="34.200000000000003" x14ac:dyDescent="0.2">
      <c r="A148" s="103"/>
      <c r="B148" s="97"/>
      <c r="C148" s="34" t="s">
        <v>69</v>
      </c>
      <c r="D148" s="42"/>
      <c r="E148" s="42"/>
      <c r="F148" s="25"/>
      <c r="G148" s="24">
        <f t="shared" si="14"/>
        <v>0</v>
      </c>
      <c r="H148" s="26">
        <f t="shared" si="15"/>
        <v>0</v>
      </c>
    </row>
    <row r="149" spans="1:8" ht="22.8" x14ac:dyDescent="0.2">
      <c r="A149" s="103"/>
      <c r="B149" s="97" t="s">
        <v>32</v>
      </c>
      <c r="C149" s="34" t="s">
        <v>70</v>
      </c>
      <c r="D149" s="42"/>
      <c r="E149" s="42"/>
      <c r="F149" s="25"/>
      <c r="G149" s="24">
        <f t="shared" si="14"/>
        <v>0</v>
      </c>
      <c r="H149" s="26">
        <f t="shared" si="15"/>
        <v>0</v>
      </c>
    </row>
    <row r="150" spans="1:8" ht="22.8" x14ac:dyDescent="0.2">
      <c r="A150" s="103"/>
      <c r="B150" s="97"/>
      <c r="C150" s="34" t="s">
        <v>71</v>
      </c>
      <c r="D150" s="42"/>
      <c r="E150" s="42"/>
      <c r="F150" s="25"/>
      <c r="G150" s="24">
        <f t="shared" si="14"/>
        <v>0</v>
      </c>
      <c r="H150" s="26">
        <f t="shared" si="15"/>
        <v>0</v>
      </c>
    </row>
    <row r="151" spans="1:8" ht="22.8" x14ac:dyDescent="0.2">
      <c r="A151" s="103"/>
      <c r="B151" s="97" t="s">
        <v>72</v>
      </c>
      <c r="C151" s="34" t="s">
        <v>73</v>
      </c>
      <c r="D151" s="42"/>
      <c r="E151" s="42"/>
      <c r="F151" s="25"/>
      <c r="G151" s="24">
        <f t="shared" ref="G151:G161" si="16">D151*E151</f>
        <v>0</v>
      </c>
      <c r="H151" s="26">
        <f t="shared" si="15"/>
        <v>0</v>
      </c>
    </row>
    <row r="152" spans="1:8" ht="34.200000000000003" x14ac:dyDescent="0.2">
      <c r="A152" s="103"/>
      <c r="B152" s="97"/>
      <c r="C152" s="34" t="s">
        <v>216</v>
      </c>
      <c r="D152" s="42"/>
      <c r="E152" s="42"/>
      <c r="F152" s="25"/>
      <c r="G152" s="24">
        <f t="shared" si="16"/>
        <v>0</v>
      </c>
      <c r="H152" s="26">
        <f t="shared" si="15"/>
        <v>0</v>
      </c>
    </row>
    <row r="153" spans="1:8" ht="22.8" x14ac:dyDescent="0.2">
      <c r="A153" s="103"/>
      <c r="B153" s="97"/>
      <c r="C153" s="34" t="s">
        <v>74</v>
      </c>
      <c r="D153" s="42"/>
      <c r="E153" s="42"/>
      <c r="F153" s="25"/>
      <c r="G153" s="24">
        <f t="shared" si="16"/>
        <v>0</v>
      </c>
      <c r="H153" s="26">
        <f t="shared" si="15"/>
        <v>0</v>
      </c>
    </row>
    <row r="154" spans="1:8" ht="22.8" x14ac:dyDescent="0.2">
      <c r="A154" s="103"/>
      <c r="B154" s="97"/>
      <c r="C154" s="34" t="s">
        <v>75</v>
      </c>
      <c r="D154" s="42"/>
      <c r="E154" s="42"/>
      <c r="F154" s="25"/>
      <c r="G154" s="24">
        <f t="shared" si="16"/>
        <v>0</v>
      </c>
      <c r="H154" s="26">
        <f t="shared" si="15"/>
        <v>0</v>
      </c>
    </row>
    <row r="155" spans="1:8" ht="24.75" customHeight="1" x14ac:dyDescent="0.2">
      <c r="A155" s="103"/>
      <c r="B155" s="97" t="s">
        <v>33</v>
      </c>
      <c r="C155" s="34" t="s">
        <v>76</v>
      </c>
      <c r="D155" s="42"/>
      <c r="E155" s="42"/>
      <c r="F155" s="25"/>
      <c r="G155" s="24">
        <f t="shared" si="16"/>
        <v>0</v>
      </c>
      <c r="H155" s="26">
        <f t="shared" si="15"/>
        <v>0</v>
      </c>
    </row>
    <row r="156" spans="1:8" ht="22.8" x14ac:dyDescent="0.2">
      <c r="A156" s="103"/>
      <c r="B156" s="97"/>
      <c r="C156" s="34" t="s">
        <v>78</v>
      </c>
      <c r="D156" s="42"/>
      <c r="E156" s="42"/>
      <c r="F156" s="25"/>
      <c r="G156" s="24">
        <f t="shared" si="16"/>
        <v>0</v>
      </c>
      <c r="H156" s="26">
        <f t="shared" si="15"/>
        <v>0</v>
      </c>
    </row>
    <row r="157" spans="1:8" ht="24.75" customHeight="1" x14ac:dyDescent="0.2">
      <c r="A157" s="103"/>
      <c r="B157" s="97"/>
      <c r="C157" s="34" t="s">
        <v>77</v>
      </c>
      <c r="D157" s="42"/>
      <c r="E157" s="42"/>
      <c r="F157" s="25"/>
      <c r="G157" s="24">
        <f t="shared" si="16"/>
        <v>0</v>
      </c>
      <c r="H157" s="26">
        <f t="shared" si="15"/>
        <v>0</v>
      </c>
    </row>
    <row r="158" spans="1:8" ht="24.75" customHeight="1" x14ac:dyDescent="0.2">
      <c r="A158" s="103"/>
      <c r="B158" s="97"/>
      <c r="C158" s="34" t="s">
        <v>135</v>
      </c>
      <c r="D158" s="42"/>
      <c r="E158" s="42"/>
      <c r="F158" s="25"/>
      <c r="G158" s="24">
        <f t="shared" si="16"/>
        <v>0</v>
      </c>
      <c r="H158" s="26">
        <f t="shared" si="15"/>
        <v>0</v>
      </c>
    </row>
    <row r="159" spans="1:8" ht="22.8" x14ac:dyDescent="0.2">
      <c r="A159" s="103"/>
      <c r="B159" s="97" t="s">
        <v>34</v>
      </c>
      <c r="C159" s="34" t="s">
        <v>79</v>
      </c>
      <c r="D159" s="42"/>
      <c r="E159" s="42"/>
      <c r="F159" s="25"/>
      <c r="G159" s="24">
        <f t="shared" si="16"/>
        <v>0</v>
      </c>
      <c r="H159" s="26">
        <f t="shared" si="15"/>
        <v>0</v>
      </c>
    </row>
    <row r="160" spans="1:8" ht="22.8" x14ac:dyDescent="0.2">
      <c r="A160" s="103"/>
      <c r="B160" s="97"/>
      <c r="C160" s="34" t="s">
        <v>217</v>
      </c>
      <c r="D160" s="42"/>
      <c r="E160" s="42"/>
      <c r="F160" s="25"/>
      <c r="G160" s="24">
        <f t="shared" si="16"/>
        <v>0</v>
      </c>
      <c r="H160" s="26">
        <f t="shared" si="15"/>
        <v>0</v>
      </c>
    </row>
    <row r="161" spans="1:8" ht="34.200000000000003" x14ac:dyDescent="0.2">
      <c r="A161" s="99"/>
      <c r="B161" s="97"/>
      <c r="C161" s="34" t="s">
        <v>80</v>
      </c>
      <c r="D161" s="42"/>
      <c r="E161" s="42"/>
      <c r="F161" s="25"/>
      <c r="G161" s="24">
        <f t="shared" si="16"/>
        <v>0</v>
      </c>
      <c r="H161" s="26">
        <f t="shared" si="15"/>
        <v>0</v>
      </c>
    </row>
    <row r="162" spans="1:8" ht="12" thickBot="1" x14ac:dyDescent="0.25">
      <c r="A162" s="83" t="s">
        <v>101</v>
      </c>
      <c r="B162" s="55"/>
      <c r="C162" s="37"/>
      <c r="D162" s="40"/>
      <c r="E162" s="40"/>
      <c r="F162" s="29"/>
      <c r="G162" s="40">
        <f>SUM(G144:G161)</f>
        <v>0</v>
      </c>
      <c r="H162" s="43">
        <f>SUM(H144:H161)</f>
        <v>0</v>
      </c>
    </row>
    <row r="163" spans="1:8" ht="23.4" thickTop="1" x14ac:dyDescent="0.2">
      <c r="A163" s="100" t="s">
        <v>35</v>
      </c>
      <c r="B163" s="21"/>
      <c r="C163" s="31" t="s">
        <v>81</v>
      </c>
      <c r="D163" s="41"/>
      <c r="E163" s="41"/>
      <c r="F163" s="21"/>
      <c r="G163" s="20">
        <f t="shared" ref="G163:G168" si="17">D163*E163</f>
        <v>0</v>
      </c>
      <c r="H163" s="22">
        <f t="shared" si="15"/>
        <v>0</v>
      </c>
    </row>
    <row r="164" spans="1:8" ht="34.200000000000003" x14ac:dyDescent="0.2">
      <c r="A164" s="101"/>
      <c r="B164" s="25"/>
      <c r="C164" s="34" t="s">
        <v>167</v>
      </c>
      <c r="D164" s="42"/>
      <c r="E164" s="42"/>
      <c r="F164" s="25"/>
      <c r="G164" s="24">
        <f t="shared" si="17"/>
        <v>0</v>
      </c>
      <c r="H164" s="26">
        <f>D164*4</f>
        <v>0</v>
      </c>
    </row>
    <row r="165" spans="1:8" ht="45.6" x14ac:dyDescent="0.2">
      <c r="A165" s="101"/>
      <c r="B165" s="25"/>
      <c r="C165" s="34" t="s">
        <v>168</v>
      </c>
      <c r="D165" s="42"/>
      <c r="E165" s="42"/>
      <c r="F165" s="25"/>
      <c r="G165" s="24">
        <f t="shared" si="17"/>
        <v>0</v>
      </c>
      <c r="H165" s="26">
        <f t="shared" si="15"/>
        <v>0</v>
      </c>
    </row>
    <row r="166" spans="1:8" ht="22.8" x14ac:dyDescent="0.2">
      <c r="A166" s="101"/>
      <c r="B166" s="25"/>
      <c r="C166" s="34" t="s">
        <v>82</v>
      </c>
      <c r="D166" s="42"/>
      <c r="E166" s="42"/>
      <c r="F166" s="25"/>
      <c r="G166" s="24">
        <f t="shared" si="17"/>
        <v>0</v>
      </c>
      <c r="H166" s="26">
        <f t="shared" si="15"/>
        <v>0</v>
      </c>
    </row>
    <row r="167" spans="1:8" ht="22.8" x14ac:dyDescent="0.2">
      <c r="A167" s="101"/>
      <c r="B167" s="25"/>
      <c r="C167" s="34" t="s">
        <v>83</v>
      </c>
      <c r="D167" s="42"/>
      <c r="E167" s="42"/>
      <c r="F167" s="25"/>
      <c r="G167" s="24">
        <f t="shared" si="17"/>
        <v>0</v>
      </c>
      <c r="H167" s="26">
        <f t="shared" si="15"/>
        <v>0</v>
      </c>
    </row>
    <row r="168" spans="1:8" ht="22.8" x14ac:dyDescent="0.2">
      <c r="A168" s="102"/>
      <c r="B168" s="25"/>
      <c r="C168" s="34" t="s">
        <v>169</v>
      </c>
      <c r="D168" s="42"/>
      <c r="E168" s="42"/>
      <c r="F168" s="25"/>
      <c r="G168" s="24">
        <f t="shared" si="17"/>
        <v>0</v>
      </c>
      <c r="H168" s="26">
        <f>D168*4</f>
        <v>0</v>
      </c>
    </row>
    <row r="169" spans="1:8" ht="12" thickBot="1" x14ac:dyDescent="0.25">
      <c r="A169" s="83" t="s">
        <v>101</v>
      </c>
      <c r="B169" s="55"/>
      <c r="C169" s="37"/>
      <c r="D169" s="40"/>
      <c r="E169" s="40"/>
      <c r="F169" s="29"/>
      <c r="G169" s="40">
        <f>SUM(G163:G167)</f>
        <v>0</v>
      </c>
      <c r="H169" s="43">
        <f>SUM(H163:H167)</f>
        <v>0</v>
      </c>
    </row>
    <row r="170" spans="1:8" ht="34.799999999999997" thickTop="1" x14ac:dyDescent="0.2">
      <c r="A170" s="98" t="s">
        <v>37</v>
      </c>
      <c r="B170" s="104" t="s">
        <v>134</v>
      </c>
      <c r="C170" s="31" t="s">
        <v>170</v>
      </c>
      <c r="D170" s="41"/>
      <c r="E170" s="41"/>
      <c r="F170" s="21"/>
      <c r="G170" s="20">
        <f>D170*E170</f>
        <v>0</v>
      </c>
      <c r="H170" s="22">
        <f t="shared" si="15"/>
        <v>0</v>
      </c>
    </row>
    <row r="171" spans="1:8" ht="22.8" x14ac:dyDescent="0.2">
      <c r="A171" s="103"/>
      <c r="B171" s="97"/>
      <c r="C171" s="34" t="s">
        <v>84</v>
      </c>
      <c r="D171" s="42"/>
      <c r="E171" s="42"/>
      <c r="F171" s="25"/>
      <c r="G171" s="24">
        <f>D171*E171</f>
        <v>0</v>
      </c>
      <c r="H171" s="26">
        <f t="shared" si="15"/>
        <v>0</v>
      </c>
    </row>
    <row r="172" spans="1:8" ht="34.200000000000003" x14ac:dyDescent="0.2">
      <c r="A172" s="103"/>
      <c r="B172" s="97" t="s">
        <v>38</v>
      </c>
      <c r="C172" s="34" t="s">
        <v>85</v>
      </c>
      <c r="D172" s="42"/>
      <c r="E172" s="42"/>
      <c r="F172" s="25"/>
      <c r="G172" s="24">
        <f>D172*E172</f>
        <v>0</v>
      </c>
      <c r="H172" s="26">
        <f t="shared" si="15"/>
        <v>0</v>
      </c>
    </row>
    <row r="173" spans="1:8" ht="22.8" x14ac:dyDescent="0.2">
      <c r="A173" s="99"/>
      <c r="B173" s="97"/>
      <c r="C173" s="34" t="s">
        <v>86</v>
      </c>
      <c r="D173" s="42"/>
      <c r="E173" s="42"/>
      <c r="F173" s="25"/>
      <c r="G173" s="24">
        <f>D173*E173</f>
        <v>0</v>
      </c>
      <c r="H173" s="26">
        <f t="shared" si="15"/>
        <v>0</v>
      </c>
    </row>
    <row r="174" spans="1:8" ht="12" thickBot="1" x14ac:dyDescent="0.25">
      <c r="A174" s="81" t="s">
        <v>101</v>
      </c>
      <c r="B174" s="54"/>
      <c r="C174" s="37"/>
      <c r="D174" s="40"/>
      <c r="E174" s="40"/>
      <c r="F174" s="29"/>
      <c r="G174" s="40">
        <f>SUM(G170:G173)</f>
        <v>0</v>
      </c>
      <c r="H174" s="43">
        <f>SUM(H170:H173)</f>
        <v>0</v>
      </c>
    </row>
    <row r="175" spans="1:8" ht="34.799999999999997" thickTop="1" x14ac:dyDescent="0.2">
      <c r="A175" s="98" t="s">
        <v>219</v>
      </c>
      <c r="B175" s="31" t="s">
        <v>218</v>
      </c>
      <c r="C175" s="31" t="s">
        <v>87</v>
      </c>
      <c r="D175" s="20"/>
      <c r="E175" s="20"/>
      <c r="F175" s="31"/>
      <c r="G175" s="20">
        <f>D175*E175</f>
        <v>0</v>
      </c>
      <c r="H175" s="22">
        <f t="shared" si="15"/>
        <v>0</v>
      </c>
    </row>
    <row r="176" spans="1:8" ht="34.200000000000003" x14ac:dyDescent="0.2">
      <c r="A176" s="103"/>
      <c r="B176" s="34" t="s">
        <v>88</v>
      </c>
      <c r="C176" s="34" t="s">
        <v>171</v>
      </c>
      <c r="D176" s="24"/>
      <c r="E176" s="24"/>
      <c r="F176" s="34" t="s">
        <v>103</v>
      </c>
      <c r="G176" s="24">
        <f>D176*E176</f>
        <v>0</v>
      </c>
      <c r="H176" s="26">
        <f t="shared" si="15"/>
        <v>0</v>
      </c>
    </row>
    <row r="177" spans="1:8" ht="22.8" x14ac:dyDescent="0.2">
      <c r="A177" s="103"/>
      <c r="B177" s="97" t="s">
        <v>39</v>
      </c>
      <c r="C177" s="34" t="s">
        <v>89</v>
      </c>
      <c r="D177" s="24"/>
      <c r="E177" s="24"/>
      <c r="F177" s="34"/>
      <c r="G177" s="24">
        <f>D177*E177</f>
        <v>0</v>
      </c>
      <c r="H177" s="26">
        <f t="shared" si="15"/>
        <v>0</v>
      </c>
    </row>
    <row r="178" spans="1:8" ht="22.8" x14ac:dyDescent="0.2">
      <c r="A178" s="103"/>
      <c r="B178" s="97"/>
      <c r="C178" s="34" t="s">
        <v>90</v>
      </c>
      <c r="D178" s="24"/>
      <c r="E178" s="24"/>
      <c r="F178" s="34"/>
      <c r="G178" s="24">
        <f>D178*E178</f>
        <v>0</v>
      </c>
      <c r="H178" s="26">
        <f t="shared" si="15"/>
        <v>0</v>
      </c>
    </row>
    <row r="179" spans="1:8" ht="22.8" x14ac:dyDescent="0.2">
      <c r="A179" s="99"/>
      <c r="B179" s="97"/>
      <c r="C179" s="34" t="s">
        <v>91</v>
      </c>
      <c r="D179" s="24"/>
      <c r="E179" s="24"/>
      <c r="F179" s="34"/>
      <c r="G179" s="24">
        <f>D179*E179</f>
        <v>0</v>
      </c>
      <c r="H179" s="26">
        <f t="shared" si="15"/>
        <v>0</v>
      </c>
    </row>
    <row r="180" spans="1:8" ht="12" thickBot="1" x14ac:dyDescent="0.25">
      <c r="A180" s="81" t="s">
        <v>101</v>
      </c>
      <c r="B180" s="54"/>
      <c r="C180" s="37"/>
      <c r="D180" s="28"/>
      <c r="E180" s="28"/>
      <c r="F180" s="37"/>
      <c r="G180" s="28">
        <f>SUM(G175:G179)</f>
        <v>0</v>
      </c>
      <c r="H180" s="30">
        <f>SUM(H175:H179)</f>
        <v>0</v>
      </c>
    </row>
    <row r="181" spans="1:8" ht="23.4" thickTop="1" x14ac:dyDescent="0.2">
      <c r="A181" s="98" t="s">
        <v>220</v>
      </c>
      <c r="B181" s="31" t="s">
        <v>92</v>
      </c>
      <c r="C181" s="31" t="s">
        <v>93</v>
      </c>
      <c r="D181" s="20"/>
      <c r="E181" s="20"/>
      <c r="F181" s="31"/>
      <c r="G181" s="20">
        <f>D181*E181</f>
        <v>0</v>
      </c>
      <c r="H181" s="22">
        <f t="shared" si="15"/>
        <v>0</v>
      </c>
    </row>
    <row r="182" spans="1:8" ht="22.8" x14ac:dyDescent="0.2">
      <c r="A182" s="99"/>
      <c r="B182" s="34" t="s">
        <v>221</v>
      </c>
      <c r="C182" s="34" t="s">
        <v>94</v>
      </c>
      <c r="D182" s="24"/>
      <c r="E182" s="24"/>
      <c r="F182" s="34"/>
      <c r="G182" s="24">
        <f>D182*E182</f>
        <v>0</v>
      </c>
      <c r="H182" s="26">
        <f t="shared" si="15"/>
        <v>0</v>
      </c>
    </row>
    <row r="183" spans="1:8" ht="12" thickBot="1" x14ac:dyDescent="0.25">
      <c r="A183" s="81" t="s">
        <v>101</v>
      </c>
      <c r="B183" s="54"/>
      <c r="C183" s="37"/>
      <c r="D183" s="44"/>
      <c r="E183" s="44"/>
      <c r="F183" s="37"/>
      <c r="G183" s="28">
        <f>SUM(G181:G182)</f>
        <v>0</v>
      </c>
      <c r="H183" s="30">
        <f>SUM(H181:H182)</f>
        <v>0</v>
      </c>
    </row>
    <row r="184" spans="1:8" ht="12" thickTop="1" x14ac:dyDescent="0.2">
      <c r="A184" s="8"/>
      <c r="B184" s="8"/>
      <c r="C184" s="8"/>
      <c r="D184" s="9"/>
      <c r="E184" s="9"/>
      <c r="F184" s="8"/>
      <c r="G184" s="9"/>
      <c r="H184" s="9"/>
    </row>
    <row r="185" spans="1:8" x14ac:dyDescent="0.2">
      <c r="A185" s="8"/>
      <c r="B185" s="8"/>
      <c r="C185" s="8"/>
      <c r="D185" s="9"/>
      <c r="E185" s="9"/>
      <c r="F185" s="8"/>
      <c r="G185" s="9"/>
      <c r="H185" s="9"/>
    </row>
    <row r="186" spans="1:8" ht="12" x14ac:dyDescent="0.2">
      <c r="A186" s="12" t="s">
        <v>121</v>
      </c>
      <c r="B186" s="8"/>
      <c r="C186" s="8"/>
      <c r="D186" s="9"/>
      <c r="E186" s="9"/>
      <c r="F186" s="8"/>
      <c r="G186" s="9"/>
      <c r="H186" s="9"/>
    </row>
    <row r="187" spans="1:8" ht="12" x14ac:dyDescent="0.2">
      <c r="A187" s="12" t="s">
        <v>122</v>
      </c>
      <c r="B187" s="17" t="s">
        <v>123</v>
      </c>
      <c r="C187" s="8"/>
      <c r="D187" s="9"/>
      <c r="E187" s="9"/>
      <c r="F187" s="8"/>
      <c r="G187" s="9"/>
      <c r="H187" s="9"/>
    </row>
    <row r="188" spans="1:8" x14ac:dyDescent="0.2">
      <c r="A188" s="8"/>
      <c r="B188" s="17" t="s">
        <v>124</v>
      </c>
      <c r="C188" s="8"/>
      <c r="D188" s="9"/>
      <c r="E188" s="9"/>
      <c r="F188" s="8"/>
      <c r="G188" s="9"/>
      <c r="H188" s="9"/>
    </row>
    <row r="189" spans="1:8" ht="12" x14ac:dyDescent="0.2">
      <c r="A189" s="12" t="s">
        <v>125</v>
      </c>
      <c r="B189" s="15" t="s">
        <v>126</v>
      </c>
      <c r="C189" s="8"/>
      <c r="D189" s="9"/>
      <c r="E189" s="9"/>
      <c r="F189" s="8"/>
      <c r="G189" s="9"/>
      <c r="H189" s="9"/>
    </row>
    <row r="190" spans="1:8" x14ac:dyDescent="0.2">
      <c r="A190" s="8"/>
      <c r="B190" s="15" t="s">
        <v>127</v>
      </c>
      <c r="C190" s="8"/>
      <c r="D190" s="9"/>
      <c r="E190" s="9"/>
      <c r="F190" s="8"/>
      <c r="G190" s="9"/>
      <c r="H190" s="9"/>
    </row>
    <row r="191" spans="1:8" x14ac:dyDescent="0.2">
      <c r="A191" s="8"/>
      <c r="B191" s="15" t="s">
        <v>128</v>
      </c>
      <c r="C191" s="8"/>
      <c r="D191" s="9"/>
      <c r="E191" s="9"/>
      <c r="F191" s="8"/>
      <c r="G191" s="9"/>
      <c r="H191" s="9"/>
    </row>
    <row r="192" spans="1:8" x14ac:dyDescent="0.2">
      <c r="A192" s="8"/>
      <c r="B192" s="15" t="s">
        <v>129</v>
      </c>
      <c r="C192" s="8"/>
      <c r="D192" s="9"/>
      <c r="E192" s="9"/>
      <c r="F192" s="8"/>
      <c r="G192" s="9"/>
      <c r="H192" s="9"/>
    </row>
    <row r="193" spans="1:8" x14ac:dyDescent="0.2">
      <c r="A193" s="8"/>
      <c r="B193" s="15" t="s">
        <v>130</v>
      </c>
      <c r="C193" s="8"/>
      <c r="D193" s="9"/>
      <c r="E193" s="9"/>
      <c r="F193" s="8"/>
      <c r="G193" s="9"/>
      <c r="H193" s="9"/>
    </row>
    <row r="194" spans="1:8" x14ac:dyDescent="0.2">
      <c r="A194" s="8"/>
      <c r="B194" s="8"/>
      <c r="C194" s="8"/>
      <c r="D194" s="9"/>
      <c r="E194" s="9"/>
      <c r="F194" s="8"/>
      <c r="G194" s="9"/>
      <c r="H194" s="9"/>
    </row>
    <row r="195" spans="1:8" x14ac:dyDescent="0.2">
      <c r="A195" s="8"/>
      <c r="B195" s="8"/>
      <c r="C195" s="8"/>
      <c r="D195" s="9"/>
      <c r="E195" s="9"/>
      <c r="F195" s="8"/>
      <c r="G195" s="9"/>
      <c r="H195" s="9"/>
    </row>
    <row r="196" spans="1:8" x14ac:dyDescent="0.2">
      <c r="A196" s="8"/>
      <c r="B196" s="8"/>
      <c r="C196" s="8"/>
      <c r="D196" s="9"/>
      <c r="E196" s="9"/>
      <c r="F196" s="8"/>
      <c r="G196" s="9"/>
      <c r="H196" s="9"/>
    </row>
    <row r="197" spans="1:8" x14ac:dyDescent="0.2">
      <c r="A197" s="8"/>
      <c r="B197" s="8"/>
      <c r="C197" s="8"/>
      <c r="D197" s="9"/>
      <c r="E197" s="9"/>
      <c r="F197" s="8"/>
      <c r="G197" s="9"/>
      <c r="H197" s="9"/>
    </row>
    <row r="198" spans="1:8" x14ac:dyDescent="0.2">
      <c r="A198" s="8"/>
      <c r="B198" s="8"/>
      <c r="C198" s="8"/>
      <c r="D198" s="9"/>
      <c r="E198" s="9"/>
      <c r="F198" s="8"/>
      <c r="G198" s="9"/>
      <c r="H198" s="9"/>
    </row>
    <row r="199" spans="1:8" x14ac:dyDescent="0.2">
      <c r="A199" s="8"/>
      <c r="B199" s="8"/>
      <c r="C199" s="8"/>
      <c r="D199" s="9"/>
      <c r="E199" s="9"/>
      <c r="F199" s="8"/>
      <c r="G199" s="9"/>
      <c r="H199" s="9"/>
    </row>
    <row r="200" spans="1:8" x14ac:dyDescent="0.2">
      <c r="A200" s="8"/>
      <c r="B200" s="8"/>
      <c r="C200" s="8"/>
      <c r="D200" s="9"/>
      <c r="E200" s="9"/>
      <c r="F200" s="8"/>
      <c r="G200" s="9"/>
      <c r="H200" s="9"/>
    </row>
    <row r="201" spans="1:8" x14ac:dyDescent="0.2">
      <c r="A201" s="8"/>
      <c r="B201" s="8"/>
      <c r="C201" s="8"/>
      <c r="D201" s="9"/>
      <c r="E201" s="9"/>
      <c r="F201" s="8"/>
      <c r="G201" s="9"/>
      <c r="H201" s="9"/>
    </row>
    <row r="202" spans="1:8" x14ac:dyDescent="0.2">
      <c r="A202" s="8"/>
      <c r="B202" s="8"/>
      <c r="C202" s="8"/>
      <c r="D202" s="9"/>
      <c r="E202" s="9"/>
      <c r="F202" s="8"/>
      <c r="G202" s="9"/>
      <c r="H202" s="9"/>
    </row>
    <row r="203" spans="1:8" x14ac:dyDescent="0.2">
      <c r="A203" s="8"/>
      <c r="B203" s="8"/>
      <c r="C203" s="8"/>
      <c r="D203" s="9"/>
      <c r="E203" s="9"/>
      <c r="F203" s="8"/>
      <c r="G203" s="9"/>
      <c r="H203" s="9"/>
    </row>
    <row r="204" spans="1:8" x14ac:dyDescent="0.2">
      <c r="A204" s="8"/>
      <c r="B204" s="8"/>
      <c r="C204" s="8"/>
      <c r="D204" s="9"/>
      <c r="E204" s="9"/>
      <c r="F204" s="8"/>
      <c r="G204" s="9"/>
      <c r="H204" s="9"/>
    </row>
    <row r="205" spans="1:8" x14ac:dyDescent="0.2">
      <c r="A205" s="8"/>
      <c r="B205" s="8"/>
      <c r="C205" s="8"/>
      <c r="D205" s="9"/>
      <c r="E205" s="9"/>
      <c r="F205" s="8"/>
      <c r="G205" s="9"/>
      <c r="H205" s="9"/>
    </row>
    <row r="206" spans="1:8" x14ac:dyDescent="0.2">
      <c r="A206" s="8"/>
      <c r="B206" s="8"/>
      <c r="C206" s="8"/>
      <c r="D206" s="9"/>
      <c r="E206" s="9"/>
      <c r="F206" s="8"/>
      <c r="G206" s="9"/>
      <c r="H206" s="9"/>
    </row>
    <row r="207" spans="1:8" x14ac:dyDescent="0.2">
      <c r="A207" s="8"/>
      <c r="B207" s="8"/>
      <c r="C207" s="8"/>
      <c r="D207" s="9"/>
      <c r="E207" s="9"/>
      <c r="F207" s="8"/>
      <c r="G207" s="9"/>
      <c r="H207" s="9"/>
    </row>
    <row r="208" spans="1:8" x14ac:dyDescent="0.2">
      <c r="A208" s="8"/>
      <c r="B208" s="8"/>
      <c r="C208" s="8"/>
      <c r="D208" s="9"/>
      <c r="E208" s="9"/>
      <c r="F208" s="8"/>
      <c r="G208" s="9"/>
      <c r="H208" s="9"/>
    </row>
    <row r="209" spans="1:8" x14ac:dyDescent="0.2">
      <c r="A209" s="8"/>
      <c r="B209" s="8"/>
      <c r="C209" s="8"/>
      <c r="D209" s="9"/>
      <c r="E209" s="9"/>
      <c r="F209" s="8"/>
      <c r="G209" s="9"/>
      <c r="H209" s="9"/>
    </row>
    <row r="210" spans="1:8" x14ac:dyDescent="0.2">
      <c r="A210" s="8"/>
      <c r="B210" s="8"/>
      <c r="C210" s="8"/>
      <c r="D210" s="9"/>
      <c r="E210" s="9"/>
      <c r="F210" s="8"/>
      <c r="G210" s="9"/>
      <c r="H210" s="9"/>
    </row>
    <row r="211" spans="1:8" x14ac:dyDescent="0.2">
      <c r="A211" s="8"/>
      <c r="B211" s="8"/>
      <c r="C211" s="8"/>
      <c r="D211" s="9"/>
      <c r="E211" s="9"/>
      <c r="F211" s="8"/>
      <c r="G211" s="9"/>
      <c r="H211" s="9"/>
    </row>
    <row r="212" spans="1:8" x14ac:dyDescent="0.2">
      <c r="A212" s="8"/>
      <c r="B212" s="8"/>
      <c r="C212" s="8"/>
      <c r="D212" s="9"/>
      <c r="E212" s="9"/>
      <c r="F212" s="8"/>
      <c r="G212" s="9"/>
      <c r="H212" s="9"/>
    </row>
    <row r="213" spans="1:8" x14ac:dyDescent="0.2">
      <c r="A213" s="8"/>
      <c r="B213" s="8"/>
      <c r="C213" s="8"/>
      <c r="D213" s="9"/>
      <c r="E213" s="9"/>
      <c r="F213" s="8"/>
      <c r="G213" s="9"/>
      <c r="H213" s="9"/>
    </row>
    <row r="214" spans="1:8" x14ac:dyDescent="0.2">
      <c r="A214" s="8"/>
      <c r="B214" s="8"/>
      <c r="C214" s="8"/>
      <c r="D214" s="9"/>
      <c r="E214" s="9"/>
      <c r="F214" s="8"/>
      <c r="G214" s="9"/>
      <c r="H214" s="9"/>
    </row>
    <row r="215" spans="1:8" x14ac:dyDescent="0.2">
      <c r="A215" s="8"/>
      <c r="B215" s="8"/>
      <c r="C215" s="8"/>
      <c r="D215" s="9"/>
      <c r="E215" s="9"/>
      <c r="F215" s="8"/>
      <c r="G215" s="9"/>
      <c r="H215" s="9"/>
    </row>
    <row r="216" spans="1:8" x14ac:dyDescent="0.2">
      <c r="A216" s="8"/>
      <c r="B216" s="8"/>
      <c r="C216" s="8"/>
      <c r="D216" s="9"/>
      <c r="E216" s="9"/>
      <c r="F216" s="8"/>
      <c r="G216" s="9"/>
      <c r="H216" s="9"/>
    </row>
    <row r="217" spans="1:8" x14ac:dyDescent="0.2">
      <c r="A217" s="8"/>
      <c r="B217" s="8"/>
      <c r="C217" s="8"/>
      <c r="D217" s="9"/>
      <c r="E217" s="9"/>
      <c r="F217" s="8"/>
      <c r="G217" s="9"/>
      <c r="H217" s="9"/>
    </row>
  </sheetData>
  <mergeCells count="48">
    <mergeCell ref="A39:A42"/>
    <mergeCell ref="A62:A66"/>
    <mergeCell ref="A68:A75"/>
    <mergeCell ref="B139:B140"/>
    <mergeCell ref="B141:B142"/>
    <mergeCell ref="A77:A80"/>
    <mergeCell ref="A82:A92"/>
    <mergeCell ref="A44:A51"/>
    <mergeCell ref="A53:A60"/>
    <mergeCell ref="B83:B85"/>
    <mergeCell ref="B87:B88"/>
    <mergeCell ref="A112:A118"/>
    <mergeCell ref="A99:A104"/>
    <mergeCell ref="A96:A97"/>
    <mergeCell ref="A120:A142"/>
    <mergeCell ref="B120:B127"/>
    <mergeCell ref="B128:B131"/>
    <mergeCell ref="B132:B136"/>
    <mergeCell ref="B137:B138"/>
    <mergeCell ref="A181:A182"/>
    <mergeCell ref="A163:A168"/>
    <mergeCell ref="A170:A173"/>
    <mergeCell ref="B170:B171"/>
    <mergeCell ref="B172:B173"/>
    <mergeCell ref="A175:A179"/>
    <mergeCell ref="B177:B179"/>
    <mergeCell ref="A144:A161"/>
    <mergeCell ref="B144:B148"/>
    <mergeCell ref="B149:B150"/>
    <mergeCell ref="B151:B154"/>
    <mergeCell ref="B155:B158"/>
    <mergeCell ref="B159:B161"/>
    <mergeCell ref="B39:B41"/>
    <mergeCell ref="B44:B51"/>
    <mergeCell ref="B53:B60"/>
    <mergeCell ref="B62:B66"/>
    <mergeCell ref="B68:B72"/>
    <mergeCell ref="B115:B118"/>
    <mergeCell ref="B73:B74"/>
    <mergeCell ref="B77:B78"/>
    <mergeCell ref="B79:B80"/>
    <mergeCell ref="B96:B97"/>
    <mergeCell ref="B99:B101"/>
    <mergeCell ref="A106:A110"/>
    <mergeCell ref="B102:B104"/>
    <mergeCell ref="B106:B107"/>
    <mergeCell ref="B108:B110"/>
    <mergeCell ref="B112:B114"/>
  </mergeCells>
  <phoneticPr fontId="1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differentFirst="1" scaleWithDoc="0">
    <oddHeader xml:space="preserve">&amp;L&amp;K04-046Bewertung der Datenschutzprozesse nach DSGVO&amp;K000000
</oddHeader>
    <oddFooter>&amp;L&amp;K04-049Seite &amp;P von &amp;N&amp;R&amp;K04-049&amp;D</oddFooter>
  </headerFooter>
  <rowBreaks count="13" manualBreakCount="13">
    <brk id="43" max="16383" man="1"/>
    <brk id="52" max="16383" man="1"/>
    <brk id="61" max="16383" man="1"/>
    <brk id="67" max="16383" man="1"/>
    <brk id="76" max="16383" man="1"/>
    <brk id="81" max="16383" man="1"/>
    <brk id="93" max="16383" man="1"/>
    <brk id="105" max="16383" man="1"/>
    <brk id="119" max="16383" man="1"/>
    <brk id="131" max="16383" man="1"/>
    <brk id="143" max="16383" man="1"/>
    <brk id="162" max="16383" man="1"/>
    <brk id="174" max="16383" man="1"/>
  </rowBreaks>
  <ignoredErrors>
    <ignoredError sqref="G43:H4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showGridLines="0" zoomScaleNormal="100" workbookViewId="0">
      <selection activeCell="J12" sqref="J12"/>
    </sheetView>
  </sheetViews>
  <sheetFormatPr baseColWidth="10" defaultColWidth="11.44140625" defaultRowHeight="13.8" x14ac:dyDescent="0.25"/>
  <cols>
    <col min="1" max="1" width="45.44140625" style="3" customWidth="1"/>
    <col min="2" max="5" width="8.44140625" style="3" customWidth="1"/>
    <col min="6" max="6" width="9.33203125" style="3" customWidth="1"/>
    <col min="7" max="7" width="8.5546875" style="3" customWidth="1"/>
    <col min="8" max="16384" width="11.44140625" style="3"/>
  </cols>
  <sheetData>
    <row r="1" spans="1:7" x14ac:dyDescent="0.25">
      <c r="A1" s="58" t="s">
        <v>224</v>
      </c>
      <c r="B1" s="59"/>
      <c r="C1" s="59"/>
      <c r="D1" s="60"/>
      <c r="E1" s="60"/>
      <c r="F1" s="2"/>
      <c r="G1" s="2"/>
    </row>
    <row r="2" spans="1:7" x14ac:dyDescent="0.25">
      <c r="A2" s="58" t="s">
        <v>223</v>
      </c>
      <c r="B2" s="59"/>
      <c r="C2" s="59"/>
      <c r="D2" s="60"/>
      <c r="E2" s="60"/>
      <c r="F2" s="2"/>
      <c r="G2" s="2"/>
    </row>
    <row r="3" spans="1:7" ht="14.4" thickBot="1" x14ac:dyDescent="0.3">
      <c r="A3" s="61"/>
      <c r="B3" s="61"/>
      <c r="C3" s="61"/>
      <c r="D3" s="61"/>
      <c r="E3" s="61"/>
    </row>
    <row r="4" spans="1:7" s="6" customFormat="1" ht="30" customHeight="1" thickTop="1" x14ac:dyDescent="0.25">
      <c r="A4" s="68" t="s">
        <v>184</v>
      </c>
      <c r="B4" s="69" t="s">
        <v>225</v>
      </c>
      <c r="C4" s="69" t="s">
        <v>226</v>
      </c>
      <c r="D4" s="69" t="s">
        <v>105</v>
      </c>
      <c r="E4" s="70" t="s">
        <v>104</v>
      </c>
    </row>
    <row r="5" spans="1:7" ht="30" customHeight="1" x14ac:dyDescent="0.25">
      <c r="A5" s="77" t="s">
        <v>144</v>
      </c>
      <c r="B5" s="62">
        <v>100</v>
      </c>
      <c r="C5" s="63" t="str">
        <f>IF(ISERROR(E5*100/D5),"trifft  nicht zu",(E5*100/D5))</f>
        <v>trifft  nicht zu</v>
      </c>
      <c r="D5" s="64">
        <f>Bewertung!H43</f>
        <v>0</v>
      </c>
      <c r="E5" s="71">
        <f>Bewertung!G43</f>
        <v>0</v>
      </c>
    </row>
    <row r="6" spans="1:7" ht="30" customHeight="1" x14ac:dyDescent="0.25">
      <c r="A6" s="78" t="s">
        <v>145</v>
      </c>
      <c r="B6" s="65">
        <v>100</v>
      </c>
      <c r="C6" s="66" t="str">
        <f t="shared" ref="C6:C22" si="0">IF(ISERROR(E6*100/D6),"trifft  nicht zu",(E6*100/D6))</f>
        <v>trifft  nicht zu</v>
      </c>
      <c r="D6" s="67">
        <f>Bewertung!H52</f>
        <v>0</v>
      </c>
      <c r="E6" s="72">
        <f>Bewertung!G52</f>
        <v>0</v>
      </c>
    </row>
    <row r="7" spans="1:7" ht="30" customHeight="1" x14ac:dyDescent="0.25">
      <c r="A7" s="78" t="s">
        <v>106</v>
      </c>
      <c r="B7" s="65">
        <v>100</v>
      </c>
      <c r="C7" s="66" t="str">
        <f t="shared" si="0"/>
        <v>trifft  nicht zu</v>
      </c>
      <c r="D7" s="67">
        <f>Bewertung!H61</f>
        <v>0</v>
      </c>
      <c r="E7" s="72">
        <f>Bewertung!G61</f>
        <v>0</v>
      </c>
    </row>
    <row r="8" spans="1:7" ht="30" customHeight="1" x14ac:dyDescent="0.25">
      <c r="A8" s="78" t="s">
        <v>107</v>
      </c>
      <c r="B8" s="65">
        <v>100</v>
      </c>
      <c r="C8" s="66" t="str">
        <f t="shared" si="0"/>
        <v>trifft  nicht zu</v>
      </c>
      <c r="D8" s="67">
        <f>Bewertung!H67</f>
        <v>0</v>
      </c>
      <c r="E8" s="72">
        <f>Bewertung!G67</f>
        <v>0</v>
      </c>
    </row>
    <row r="9" spans="1:7" ht="30" customHeight="1" x14ac:dyDescent="0.25">
      <c r="A9" s="78" t="s">
        <v>108</v>
      </c>
      <c r="B9" s="65">
        <v>100</v>
      </c>
      <c r="C9" s="66" t="str">
        <f t="shared" si="0"/>
        <v>trifft  nicht zu</v>
      </c>
      <c r="D9" s="67">
        <f>Bewertung!H76</f>
        <v>0</v>
      </c>
      <c r="E9" s="72">
        <f>Bewertung!G76</f>
        <v>0</v>
      </c>
    </row>
    <row r="10" spans="1:7" ht="30" customHeight="1" x14ac:dyDescent="0.25">
      <c r="A10" s="78" t="s">
        <v>102</v>
      </c>
      <c r="B10" s="65">
        <v>100</v>
      </c>
      <c r="C10" s="66" t="str">
        <f t="shared" si="0"/>
        <v>trifft  nicht zu</v>
      </c>
      <c r="D10" s="67">
        <f>Bewertung!H81</f>
        <v>0</v>
      </c>
      <c r="E10" s="72">
        <f>Bewertung!G81</f>
        <v>0</v>
      </c>
    </row>
    <row r="11" spans="1:7" ht="30" customHeight="1" x14ac:dyDescent="0.25">
      <c r="A11" s="78" t="s">
        <v>18</v>
      </c>
      <c r="B11" s="65">
        <v>100</v>
      </c>
      <c r="C11" s="66" t="str">
        <f t="shared" si="0"/>
        <v>trifft  nicht zu</v>
      </c>
      <c r="D11" s="67">
        <f>Bewertung!H93</f>
        <v>0</v>
      </c>
      <c r="E11" s="72">
        <f>Bewertung!G93</f>
        <v>0</v>
      </c>
    </row>
    <row r="12" spans="1:7" ht="30" customHeight="1" x14ac:dyDescent="0.25">
      <c r="A12" s="78" t="s">
        <v>100</v>
      </c>
      <c r="B12" s="65">
        <v>100</v>
      </c>
      <c r="C12" s="66" t="str">
        <f t="shared" si="0"/>
        <v>trifft  nicht zu</v>
      </c>
      <c r="D12" s="67">
        <f>Bewertung!H95</f>
        <v>0</v>
      </c>
      <c r="E12" s="72">
        <f>Bewertung!G95</f>
        <v>0</v>
      </c>
    </row>
    <row r="13" spans="1:7" ht="30" customHeight="1" x14ac:dyDescent="0.25">
      <c r="A13" s="78" t="s">
        <v>110</v>
      </c>
      <c r="B13" s="65">
        <v>100</v>
      </c>
      <c r="C13" s="66" t="str">
        <f t="shared" si="0"/>
        <v>trifft  nicht zu</v>
      </c>
      <c r="D13" s="67">
        <f>Bewertung!H98</f>
        <v>0</v>
      </c>
      <c r="E13" s="72">
        <f>Bewertung!G98</f>
        <v>0</v>
      </c>
    </row>
    <row r="14" spans="1:7" ht="30" customHeight="1" x14ac:dyDescent="0.25">
      <c r="A14" s="78" t="s">
        <v>6</v>
      </c>
      <c r="B14" s="65">
        <v>100</v>
      </c>
      <c r="C14" s="66" t="str">
        <f t="shared" si="0"/>
        <v>trifft  nicht zu</v>
      </c>
      <c r="D14" s="67">
        <f>Bewertung!H105</f>
        <v>0</v>
      </c>
      <c r="E14" s="72">
        <f>Bewertung!G105</f>
        <v>0</v>
      </c>
    </row>
    <row r="15" spans="1:7" ht="30" customHeight="1" x14ac:dyDescent="0.25">
      <c r="A15" s="78" t="s">
        <v>111</v>
      </c>
      <c r="B15" s="65">
        <v>100</v>
      </c>
      <c r="C15" s="66" t="str">
        <f t="shared" si="0"/>
        <v>trifft  nicht zu</v>
      </c>
      <c r="D15" s="67">
        <f>Bewertung!H111</f>
        <v>0</v>
      </c>
      <c r="E15" s="72">
        <f>Bewertung!G111</f>
        <v>0</v>
      </c>
    </row>
    <row r="16" spans="1:7" ht="30" customHeight="1" x14ac:dyDescent="0.25">
      <c r="A16" s="78" t="s">
        <v>112</v>
      </c>
      <c r="B16" s="65">
        <v>100</v>
      </c>
      <c r="C16" s="66" t="str">
        <f t="shared" si="0"/>
        <v>trifft  nicht zu</v>
      </c>
      <c r="D16" s="67">
        <f>Bewertung!H119</f>
        <v>0</v>
      </c>
      <c r="E16" s="72">
        <f>Bewertung!G119</f>
        <v>0</v>
      </c>
    </row>
    <row r="17" spans="1:15" ht="30" customHeight="1" x14ac:dyDescent="0.25">
      <c r="A17" s="78" t="s">
        <v>117</v>
      </c>
      <c r="B17" s="65">
        <v>100</v>
      </c>
      <c r="C17" s="66" t="str">
        <f t="shared" si="0"/>
        <v>trifft  nicht zu</v>
      </c>
      <c r="D17" s="67">
        <f>Bewertung!H143</f>
        <v>0</v>
      </c>
      <c r="E17" s="72">
        <f>Bewertung!G143</f>
        <v>0</v>
      </c>
    </row>
    <row r="18" spans="1:15" ht="30" customHeight="1" x14ac:dyDescent="0.25">
      <c r="A18" s="78" t="s">
        <v>30</v>
      </c>
      <c r="B18" s="65">
        <v>100</v>
      </c>
      <c r="C18" s="66" t="str">
        <f t="shared" si="0"/>
        <v>trifft  nicht zu</v>
      </c>
      <c r="D18" s="67">
        <f>Bewertung!H162</f>
        <v>0</v>
      </c>
      <c r="E18" s="72">
        <f>Bewertung!G162</f>
        <v>0</v>
      </c>
    </row>
    <row r="19" spans="1:15" ht="30" customHeight="1" x14ac:dyDescent="0.25">
      <c r="A19" s="78" t="s">
        <v>35</v>
      </c>
      <c r="B19" s="65">
        <v>100</v>
      </c>
      <c r="C19" s="66" t="str">
        <f t="shared" si="0"/>
        <v>trifft  nicht zu</v>
      </c>
      <c r="D19" s="67">
        <f>Bewertung!H169</f>
        <v>0</v>
      </c>
      <c r="E19" s="72">
        <f>Bewertung!G169</f>
        <v>0</v>
      </c>
    </row>
    <row r="20" spans="1:15" ht="30" customHeight="1" x14ac:dyDescent="0.25">
      <c r="A20" s="78" t="s">
        <v>113</v>
      </c>
      <c r="B20" s="65">
        <v>100</v>
      </c>
      <c r="C20" s="66" t="str">
        <f t="shared" si="0"/>
        <v>trifft  nicht zu</v>
      </c>
      <c r="D20" s="67">
        <f>Bewertung!H174</f>
        <v>0</v>
      </c>
      <c r="E20" s="72">
        <f>Bewertung!G174</f>
        <v>0</v>
      </c>
    </row>
    <row r="21" spans="1:15" ht="30" customHeight="1" x14ac:dyDescent="0.25">
      <c r="A21" s="78" t="s">
        <v>116</v>
      </c>
      <c r="B21" s="65">
        <v>100</v>
      </c>
      <c r="C21" s="66" t="str">
        <f t="shared" si="0"/>
        <v>trifft  nicht zu</v>
      </c>
      <c r="D21" s="67">
        <f>Bewertung!H180</f>
        <v>0</v>
      </c>
      <c r="E21" s="72">
        <f>Bewertung!G180</f>
        <v>0</v>
      </c>
    </row>
    <row r="22" spans="1:15" ht="30" customHeight="1" thickBot="1" x14ac:dyDescent="0.3">
      <c r="A22" s="79" t="s">
        <v>115</v>
      </c>
      <c r="B22" s="73">
        <v>100</v>
      </c>
      <c r="C22" s="74" t="str">
        <f t="shared" si="0"/>
        <v>trifft  nicht zu</v>
      </c>
      <c r="D22" s="75">
        <f>Bewertung!H183</f>
        <v>0</v>
      </c>
      <c r="E22" s="76">
        <f>Bewertung!G183</f>
        <v>0</v>
      </c>
    </row>
    <row r="23" spans="1:15" ht="14.4" thickTop="1" x14ac:dyDescent="0.25"/>
    <row r="24" spans="1:15" x14ac:dyDescent="0.25">
      <c r="A24" s="1"/>
      <c r="B24" s="1"/>
      <c r="C24" s="1"/>
    </row>
    <row r="26" spans="1:15" x14ac:dyDescent="0.25">
      <c r="L26" s="4"/>
      <c r="M26" s="5"/>
      <c r="N26" s="5"/>
      <c r="O26" s="5"/>
    </row>
  </sheetData>
  <sheetProtection selectLockedCells="1"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opLeftCell="A2" zoomScaleNormal="100" workbookViewId="0">
      <selection activeCell="N34" sqref="N34"/>
    </sheetView>
  </sheetViews>
  <sheetFormatPr baseColWidth="10" defaultRowHeight="13.2" x14ac:dyDescent="0.25"/>
  <sheetData/>
  <phoneticPr fontId="1" type="noConversion"/>
  <pageMargins left="0.23622047244094491" right="0.23622047244094491" top="0.74803149606299213" bottom="0.74803149606299213" header="0.31496062992125984" footer="0.31496062992125984"/>
  <pageSetup paperSize="9" scale="8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Bewertung</vt:lpstr>
      <vt:lpstr>Erfüllungsgrad</vt:lpstr>
      <vt:lpstr>Grafik</vt:lpstr>
      <vt:lpstr>Erfüllungsgrad!Druckbereich</vt:lpstr>
      <vt:lpstr>Bewertung!Drucktitel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Helmut</dc:creator>
  <cp:lastModifiedBy>MuM2</cp:lastModifiedBy>
  <cp:lastPrinted>2017-07-11T13:49:09Z</cp:lastPrinted>
  <dcterms:created xsi:type="dcterms:W3CDTF">2017-04-03T17:28:31Z</dcterms:created>
  <dcterms:modified xsi:type="dcterms:W3CDTF">2017-07-14T11:26:21Z</dcterms:modified>
</cp:coreProperties>
</file>